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ivotTables/pivotTable1.xml" ContentType="application/vnd.openxmlformats-officedocument.spreadsheetml.pivotTable+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5.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6.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7.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8.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9.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10.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11.xml" ContentType="application/vnd.openxmlformats-officedocument.drawing+xml"/>
  <Override PartName="/xl/charts/chartEx2.xml" ContentType="application/vnd.ms-office.chartex+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12.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3.xml" ContentType="application/vnd.openxmlformats-officedocument.drawing+xml"/>
  <Override PartName="/xl/drawings/drawing14.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Ex4.xml" ContentType="application/vnd.ms-office.chartex+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14.xml" ContentType="application/vnd.openxmlformats-officedocument.drawingml.chart+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16.xml" ContentType="application/vnd.openxmlformats-officedocument.drawingml.chart+xml"/>
  <Override PartName="/xl/charts/style19.xml" ContentType="application/vnd.ms-office.chartstyle+xml"/>
  <Override PartName="/xl/charts/colors19.xml" ContentType="application/vnd.ms-office.chartcolorstyle+xml"/>
  <Override PartName="/xl/charts/chart17.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1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0.xml" ContentType="application/vnd.ms-excel.person+xml"/>
  <Override PartName="/xl/persons/person.xml" ContentType="application/vnd.ms-excel.person+xml"/>
  <Override PartName="/xl/persons/person1.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codeName="ThisWorkbook" hidePivotFieldList="1"/>
  <mc:AlternateContent xmlns:mc="http://schemas.openxmlformats.org/markup-compatibility/2006">
    <mc:Choice Requires="x15">
      <x15ac:absPath xmlns:x15ac="http://schemas.microsoft.com/office/spreadsheetml/2010/11/ac" url="C:\Users\elvis\Desktop\"/>
    </mc:Choice>
  </mc:AlternateContent>
  <xr:revisionPtr revIDLastSave="0" documentId="8_{43E63503-6AEA-4B20-AA4E-03FDB026CC1E}" xr6:coauthVersionLast="47" xr6:coauthVersionMax="47" xr10:uidLastSave="{00000000-0000-0000-0000-000000000000}"/>
  <bookViews>
    <workbookView xWindow="-103" yWindow="-103" windowWidth="22149" windowHeight="13200" activeTab="3" xr2:uid="{00000000-000D-0000-FFFF-FFFF00000000}"/>
  </bookViews>
  <sheets>
    <sheet name="Pivot Table Diagram" sheetId="4" r:id="rId1"/>
    <sheet name="Task" sheetId="15" r:id="rId2"/>
    <sheet name="Data (2)" sheetId="17" r:id="rId3"/>
    <sheet name="Pre Analysis Board" sheetId="18" r:id="rId4"/>
    <sheet name="In-Analysis Board" sheetId="19" r:id="rId5"/>
    <sheet name="Sales Trend" sheetId="20" r:id="rId6"/>
    <sheet name="Top 10 Customers" sheetId="22" r:id="rId7"/>
    <sheet name="Sales by Rep" sheetId="23" r:id="rId8"/>
    <sheet name="Sales by Region" sheetId="24" r:id="rId9"/>
    <sheet name="Sales by Product category" sheetId="26" r:id="rId10"/>
    <sheet name="Top 6 Ship Cities" sheetId="27" r:id="rId11"/>
    <sheet name="Top 5 Cities" sheetId="28" r:id="rId12"/>
    <sheet name="State Performance" sheetId="29" r:id="rId13"/>
    <sheet name="Transaction by Amount" sheetId="30" r:id="rId14"/>
    <sheet name="Dashboard Sketch " sheetId="34" r:id="rId15"/>
    <sheet name="Dashboard Interface" sheetId="37" r:id="rId16"/>
    <sheet name="Post-Analysis Board " sheetId="36" r:id="rId17"/>
  </sheets>
  <definedNames>
    <definedName name="_xlnm._FilterDatabase" localSheetId="2" hidden="1">'Data (2)'!$A$1:$Z$370</definedName>
    <definedName name="_xlchart.v1.0" hidden="1">'Top 6 Ship Cities'!$D$4:$D$9</definedName>
    <definedName name="_xlchart.v1.1" hidden="1">'Top 6 Ship Cities'!$E$3</definedName>
    <definedName name="_xlchart.v1.11" hidden="1">'Top 6 Ship Cities'!$D$4:$D$9</definedName>
    <definedName name="_xlchart.v1.12" hidden="1">'Top 6 Ship Cities'!$E$3</definedName>
    <definedName name="_xlchart.v1.13" hidden="1">'Top 6 Ship Cities'!$E$4:$E$9</definedName>
    <definedName name="_xlchart.v1.2" hidden="1">'Top 6 Ship Cities'!$E$4:$E$9</definedName>
    <definedName name="_xlchart.v5.10" hidden="1">'State Performance'!$E$4:$E$15</definedName>
    <definedName name="_xlchart.v5.3" hidden="1">'State Performance'!$D$3</definedName>
    <definedName name="_xlchart.v5.4" hidden="1">'State Performance'!$D$4:$D$15</definedName>
    <definedName name="_xlchart.v5.5" hidden="1">'State Performance'!$E$3</definedName>
    <definedName name="_xlchart.v5.6" hidden="1">'State Performance'!$E$4:$E$15</definedName>
    <definedName name="_xlchart.v5.7" hidden="1">'State Performance'!$D$3</definedName>
    <definedName name="_xlchart.v5.8" hidden="1">'State Performance'!$D$4:$D$15</definedName>
    <definedName name="_xlchart.v5.9" hidden="1">'State Performance'!$E$3</definedName>
    <definedName name="Slicer_Product_Name">#N/A</definedName>
    <definedName name="Slicer_Salesperson">#N/A</definedName>
  </definedNames>
  <calcPr calcId="181029"/>
  <pivotCaches>
    <pivotCache cacheId="0" r:id="rId18"/>
  </pivotCaches>
  <extLs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<sst xmlns="http://schemas.openxmlformats.org/spreadsheetml/2006/main" count="5919" uniqueCount="193">
  <si>
    <t>Order ID</t>
  </si>
  <si>
    <t>Order Date</t>
  </si>
  <si>
    <t>Customer ID</t>
  </si>
  <si>
    <t>Customer Name</t>
  </si>
  <si>
    <t>Address</t>
  </si>
  <si>
    <t>City</t>
  </si>
  <si>
    <t>State</t>
  </si>
  <si>
    <t>ZIP/Postal Code</t>
  </si>
  <si>
    <t>Country/Region</t>
  </si>
  <si>
    <t>Salesperson</t>
  </si>
  <si>
    <t>Region</t>
  </si>
  <si>
    <t>Shipped Date</t>
  </si>
  <si>
    <t>Shipper Name</t>
  </si>
  <si>
    <t>Ship Name</t>
  </si>
  <si>
    <t>Ship Address</t>
  </si>
  <si>
    <t>Ship City</t>
  </si>
  <si>
    <t>Ship State</t>
  </si>
  <si>
    <t>Ship ZIP/Postal Code</t>
  </si>
  <si>
    <t>Ship Country/Region</t>
  </si>
  <si>
    <t>Payment Type</t>
  </si>
  <si>
    <t>Product Name</t>
  </si>
  <si>
    <t>Category</t>
  </si>
  <si>
    <t>Unit Price</t>
  </si>
  <si>
    <t>Quantity</t>
  </si>
  <si>
    <t>Revenue</t>
  </si>
  <si>
    <t>Shipping Fee</t>
  </si>
  <si>
    <t>Company AA</t>
  </si>
  <si>
    <t>789 27th Street</t>
  </si>
  <si>
    <t>Las Vegas</t>
  </si>
  <si>
    <t>NV</t>
  </si>
  <si>
    <t>USA</t>
  </si>
  <si>
    <t>Mariya Sergienko</t>
  </si>
  <si>
    <t>West</t>
  </si>
  <si>
    <t>Shipping Company B</t>
  </si>
  <si>
    <t>Karen Toh</t>
  </si>
  <si>
    <t>Check</t>
  </si>
  <si>
    <t>Beer</t>
  </si>
  <si>
    <t>Beverages</t>
  </si>
  <si>
    <t>Dried Plums</t>
  </si>
  <si>
    <t>Dried Fruit &amp; Nuts</t>
  </si>
  <si>
    <t>Company D</t>
  </si>
  <si>
    <t>123 4th Street</t>
  </si>
  <si>
    <t>New York</t>
  </si>
  <si>
    <t>NY</t>
  </si>
  <si>
    <t>Andrew Cencini</t>
  </si>
  <si>
    <t>East</t>
  </si>
  <si>
    <t>Shipping Company A</t>
  </si>
  <si>
    <t>Christina Lee</t>
  </si>
  <si>
    <t>Credit Card</t>
  </si>
  <si>
    <t>Dried Pears</t>
  </si>
  <si>
    <t>Dried Apples</t>
  </si>
  <si>
    <t>Company L</t>
  </si>
  <si>
    <t>123 12th Street</t>
  </si>
  <si>
    <t>John Edwards</t>
  </si>
  <si>
    <t>Chai</t>
  </si>
  <si>
    <t>Coffee</t>
  </si>
  <si>
    <t>Company H</t>
  </si>
  <si>
    <t>123 8th Street</t>
  </si>
  <si>
    <t>Portland</t>
  </si>
  <si>
    <t>OR</t>
  </si>
  <si>
    <t>Nancy Freehafer</t>
  </si>
  <si>
    <t>North</t>
  </si>
  <si>
    <t>Shipping Company C</t>
  </si>
  <si>
    <t>Elizabeth Andersen</t>
  </si>
  <si>
    <t>Chocolate Biscuits Mix</t>
  </si>
  <si>
    <t>Baked Goods &amp; Mixes</t>
  </si>
  <si>
    <t>Company CC</t>
  </si>
  <si>
    <t>789 29th Street</t>
  </si>
  <si>
    <t>Denver</t>
  </si>
  <si>
    <t>CO</t>
  </si>
  <si>
    <t>Jan Kotas</t>
  </si>
  <si>
    <t>Soo Jung Lee</t>
  </si>
  <si>
    <t>Chocolate</t>
  </si>
  <si>
    <t>Candy</t>
  </si>
  <si>
    <t>Company C</t>
  </si>
  <si>
    <t>123 3rd Street</t>
  </si>
  <si>
    <t>Los Angelas</t>
  </si>
  <si>
    <t>CA</t>
  </si>
  <si>
    <t>Thomas Axerr</t>
  </si>
  <si>
    <t>Cash</t>
  </si>
  <si>
    <t>Clam Chowder</t>
  </si>
  <si>
    <t>Soups</t>
  </si>
  <si>
    <t>Company F</t>
  </si>
  <si>
    <t>123 6th Street</t>
  </si>
  <si>
    <t>Milwaukee</t>
  </si>
  <si>
    <t>WI</t>
  </si>
  <si>
    <t>Michael Neipper</t>
  </si>
  <si>
    <t>Francisco Pérez-Olaeta</t>
  </si>
  <si>
    <t>Curry Sauce</t>
  </si>
  <si>
    <t>Sauces</t>
  </si>
  <si>
    <t>Company BB</t>
  </si>
  <si>
    <t>789 28th Street</t>
  </si>
  <si>
    <t>Memphis</t>
  </si>
  <si>
    <t>TN</t>
  </si>
  <si>
    <t>Anne Larsen</t>
  </si>
  <si>
    <t>South</t>
  </si>
  <si>
    <t>Amritansh Raghav</t>
  </si>
  <si>
    <t>Company J</t>
  </si>
  <si>
    <t>123 10th Street</t>
  </si>
  <si>
    <t>Chicago</t>
  </si>
  <si>
    <t>IL</t>
  </si>
  <si>
    <t>Laura Giussani</t>
  </si>
  <si>
    <t>Roland Wacker</t>
  </si>
  <si>
    <t>Green Tea</t>
  </si>
  <si>
    <t>Company G</t>
  </si>
  <si>
    <t>123 7th Street</t>
  </si>
  <si>
    <t>Boise</t>
  </si>
  <si>
    <t>ID</t>
  </si>
  <si>
    <t>Ming-Yang Xie</t>
  </si>
  <si>
    <t>Boysenberry Spread</t>
  </si>
  <si>
    <t>Jams, Preserves</t>
  </si>
  <si>
    <t>Cajun Seasoning</t>
  </si>
  <si>
    <t>Condiments</t>
  </si>
  <si>
    <t>Company K</t>
  </si>
  <si>
    <t>123 11th Street</t>
  </si>
  <si>
    <t>Miami</t>
  </si>
  <si>
    <t>FL</t>
  </si>
  <si>
    <t>Peter Krschne</t>
  </si>
  <si>
    <t>Company A</t>
  </si>
  <si>
    <t>123 1st Street</t>
  </si>
  <si>
    <t>Seattle</t>
  </si>
  <si>
    <t>WA</t>
  </si>
  <si>
    <t>Anna Bedecs</t>
  </si>
  <si>
    <t>Crab Meat</t>
  </si>
  <si>
    <t>Canned Meat</t>
  </si>
  <si>
    <t>Company I</t>
  </si>
  <si>
    <t>123 9th Street</t>
  </si>
  <si>
    <t>Salt Lake City</t>
  </si>
  <si>
    <t>UT</t>
  </si>
  <si>
    <t>Robert Zare</t>
  </si>
  <si>
    <t>Sven Mortensen</t>
  </si>
  <si>
    <t>Ravioli</t>
  </si>
  <si>
    <t>Pasta</t>
  </si>
  <si>
    <t>Mozzarella</t>
  </si>
  <si>
    <t>Dairy Products</t>
  </si>
  <si>
    <t>Syrup</t>
  </si>
  <si>
    <t>Almonds</t>
  </si>
  <si>
    <t>Company Y</t>
  </si>
  <si>
    <t>789 25th Street</t>
  </si>
  <si>
    <t>John Rodman</t>
  </si>
  <si>
    <t>Company Z</t>
  </si>
  <si>
    <t>789 26th Street</t>
  </si>
  <si>
    <t>Run Liu</t>
  </si>
  <si>
    <t>Fruit Cocktail</t>
  </si>
  <si>
    <t>Fruit &amp; Veg</t>
  </si>
  <si>
    <t>Gnocchi</t>
  </si>
  <si>
    <t>Scones</t>
  </si>
  <si>
    <t>Olive Oil</t>
  </si>
  <si>
    <t>Oil</t>
  </si>
  <si>
    <t>Marmalade</t>
  </si>
  <si>
    <t>Long Grain Rice</t>
  </si>
  <si>
    <t>Grains</t>
  </si>
  <si>
    <t>Source:</t>
  </si>
  <si>
    <t>Article:</t>
  </si>
  <si>
    <t>How Do Pivot Tables Work?</t>
  </si>
  <si>
    <t>http://www.excelcampus.com/pivot-tables/pivot-tables-work/</t>
  </si>
  <si>
    <t>Sales trend report</t>
  </si>
  <si>
    <t>Top 10 customers</t>
  </si>
  <si>
    <t>Sales by Rep</t>
  </si>
  <si>
    <t>Sales by Region</t>
  </si>
  <si>
    <t>Transaction by Amount.</t>
  </si>
  <si>
    <t>DATA ANALYST TASK LIST</t>
  </si>
  <si>
    <t>Analyze the sales data for 2014 and provide report for capturing the items listed below. An excellent report would aid management make strategic decisions for the coming year.</t>
  </si>
  <si>
    <t xml:space="preserve">Sales By Product category </t>
  </si>
  <si>
    <t xml:space="preserve">Top 6 ship cities by revenue </t>
  </si>
  <si>
    <t xml:space="preserve">Top 5 cities By revenue </t>
  </si>
  <si>
    <t>Row Labels</t>
  </si>
  <si>
    <t>Grand Total</t>
  </si>
  <si>
    <t>Jan</t>
  </si>
  <si>
    <t>Feb</t>
  </si>
  <si>
    <t>Mar</t>
  </si>
  <si>
    <t>Apr</t>
  </si>
  <si>
    <t>May</t>
  </si>
  <si>
    <t>Jun</t>
  </si>
  <si>
    <t>Jul</t>
  </si>
  <si>
    <t>Aug</t>
  </si>
  <si>
    <t>Sep</t>
  </si>
  <si>
    <t>Oct</t>
  </si>
  <si>
    <t>Nov</t>
  </si>
  <si>
    <t>Dec</t>
  </si>
  <si>
    <t>Sum of Revenue</t>
  </si>
  <si>
    <t>(Shipping Fee error)</t>
  </si>
  <si>
    <t>State Performance</t>
  </si>
  <si>
    <t>Ship Cities</t>
  </si>
  <si>
    <t xml:space="preserve"> Revenue</t>
  </si>
  <si>
    <t>0-1000</t>
  </si>
  <si>
    <t>1000-2000</t>
  </si>
  <si>
    <t>2000-3000</t>
  </si>
  <si>
    <t>3000-4000</t>
  </si>
  <si>
    <t>4000-5000</t>
  </si>
  <si>
    <t>6000-7000</t>
  </si>
  <si>
    <t>7000-8000</t>
  </si>
  <si>
    <t>Count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</si>
</sst>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quot;$&quot;* #,##0.00_);_(&quot;$&quot;* \(#,##0.00\);_(&quot;$&quot;* &quot;-&quot;??_);_(@_)"/>
    <numFmt numFmtId="165" formatCode="mm/dd/yy;@"/>
    <numFmt numFmtId="166" formatCode="&quot;$&quot;#,##0.00"/>
  </numFmts>
  <fonts count="6"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2"/>
      <color theme="1"/>
      <name val="Calibri"/>
      <family val="2"/>
      <scheme val="minor"/>
    </font>
    <font>
      <sz val="16"/>
      <color theme="1"/>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rgb="FF00B050"/>
        <bgColor indexed="64"/>
      </patternFill>
    </fill>
    <fill>
      <patternFill patternType="solid">
        <fgColor rgb="FFFFFF00"/>
        <bgColor indexed="64"/>
      </patternFill>
    </fill>
    <fill>
      <patternFill patternType="solid">
        <fgColor theme="4" tint="0.79998168889431442"/>
        <bgColor theme="4" tint="0.79998168889431442"/>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style="thin">
        <color indexed="64"/>
      </right>
      <top/>
      <bottom/>
      <diagonal/>
    </border>
  </borders>
  <cellStyleXfs count="3">
    <xf numFmtId="0" fontId="0" fillId="0" borderId="0"/>
    <xf numFmtId="164" fontId="1" fillId="0" borderId="0" applyFont="0" applyFill="0" applyBorder="0" applyAlignment="0" applyProtection="0"/>
    <xf numFmtId="0" fontId="3" fillId="0" borderId="0" applyNumberFormat="0" applyFill="0" applyBorder="0" applyAlignment="0" applyProtection="0"/>
  </cellStyleXfs>
  <cellXfs count="16">
    <xf numFmtId="0" fontId="0" fillId="0" borderId="0" xfId="0"/>
    <xf numFmtId="0" fontId="2" fillId="2" borderId="0" xfId="0" applyFont="1" applyFill="1"/>
    <xf numFmtId="165" fontId="0" fillId="0" borderId="0" xfId="0" applyNumberFormat="1"/>
    <xf numFmtId="166" fontId="0" fillId="0" borderId="0" xfId="0" applyNumberFormat="1"/>
    <xf numFmtId="166" fontId="0" fillId="0" borderId="0" xfId="1" applyNumberFormat="1" applyFont="1"/>
    <xf numFmtId="0" fontId="3" fillId="0" borderId="0" xfId="2"/>
    <xf numFmtId="0" fontId="2" fillId="0" borderId="0" xfId="0" applyFont="1"/>
    <xf numFmtId="0" fontId="5" fillId="3" borderId="0" xfId="0" applyFont="1" applyFill="1"/>
    <xf numFmtId="0" fontId="5" fillId="4" borderId="1" xfId="0" applyFont="1" applyFill="1" applyBorder="1"/>
    <xf numFmtId="0" fontId="4" fillId="0" borderId="0" xfId="0" applyFont="1" applyAlignment="1">
      <alignment vertical="center" wrapText="1"/>
    </xf>
    <xf numFmtId="0" fontId="0" fillId="0" borderId="0" xfId="0" pivotButton="1"/>
    <xf numFmtId="0" fontId="0" fillId="0" borderId="0" xfId="0" applyAlignment="1">
      <alignment horizontal="left"/>
    </xf>
    <xf numFmtId="10" fontId="0" fillId="0" borderId="0" xfId="0" applyNumberFormat="1"/>
    <xf numFmtId="0" fontId="5" fillId="4" borderId="3" xfId="0" applyFont="1" applyFill="1" applyBorder="1"/>
    <xf numFmtId="0" fontId="2" fillId="5" borderId="2" xfId="0" applyFont="1" applyFill="1" applyBorder="1" applyAlignment="1">
      <alignment horizontal="center"/>
    </xf>
    <xf numFmtId="166" fontId="0" fillId="0" borderId="0" xfId="0" applyNumberFormat="1" applyAlignment="1">
      <alignment horizontal="left"/>
    </xf>
  </cellXfs>
  <cellStyles count="3">
    <cellStyle name="Currency" xfId="1" builtinId="4"/>
    <cellStyle name="Hyperlink" xfId="2" builtinId="8"/>
    <cellStyle name="Normal" xfId="0" builtinId="0"/>
  </cellStyles>
  <dxfs count="0"/>
  <tableStyles count="3" defaultTableStyle="TableStyleMedium2" defaultPivotStyle="PivotStyleLight16">
    <tableStyle name="Slicer Style 1" pivot="0" table="0" count="1" xr9:uid="{0FAE84BF-7C39-471A-AEA3-D1B65A7A4554}"/>
    <tableStyle name="Slicer Style 2" pivot="0" table="0" count="8" xr9:uid="{BB83AD9B-1011-4359-961D-A8C8550EB272}"/>
    <tableStyle name="Slicer Style 2 2" pivot="0" table="0" count="6" xr9:uid="{12E62A0C-E0A8-49A8-BE54-38A3056B3800}"/>
  </tableStyles>
  <colors>
    <mruColors>
      <color rgb="FF084C2C"/>
      <color rgb="FF67EFAE"/>
      <color rgb="FF16D077"/>
      <color rgb="FF14B468"/>
      <color rgb="FF0F8F52"/>
      <color rgb="FF0C7241"/>
      <color rgb="FF96F4C7"/>
      <color rgb="FF119B59"/>
      <color rgb="FF13B568"/>
      <color rgb="FF21E789"/>
    </mruColors>
  </colors>
  <extLst>
    <ext xmlns:x14="http://schemas.microsoft.com/office/spreadsheetml/2009/9/main" uri="{46F421CA-312F-682f-3DD2-61675219B42D}">
      <x14:dxfs count="15">
        <dxf>
          <font>
            <b/>
            <i val="0"/>
            <sz val="9"/>
            <name val="Arial Narrow"/>
            <family val="2"/>
            <scheme val="none"/>
          </font>
          <fill>
            <patternFill>
              <bgColor theme="0" tint="-0.14996795556505021"/>
            </patternFill>
          </fill>
          <border diagonalUp="0" diagonalDown="0">
            <left/>
            <right/>
            <top/>
            <bottom/>
            <vertical/>
            <horizontal/>
          </border>
        </dxf>
        <dxf>
          <font>
            <b/>
            <i val="0"/>
            <sz val="9"/>
            <name val="Arial Narrow"/>
            <family val="2"/>
            <scheme val="none"/>
          </font>
          <fill>
            <patternFill>
              <bgColor theme="0" tint="-0.14996795556505021"/>
            </patternFill>
          </fill>
          <border diagonalUp="0" diagonalDown="0">
            <left/>
            <right/>
            <top/>
            <bottom/>
            <vertical/>
            <horizontal/>
          </border>
        </dxf>
        <dxf>
          <font>
            <b/>
            <i val="0"/>
            <sz val="9"/>
            <color theme="0"/>
            <name val="Arial Narrow"/>
            <family val="2"/>
            <scheme val="none"/>
          </font>
          <fill>
            <patternFill>
              <bgColor rgb="FF084C2C"/>
            </patternFill>
          </fill>
          <border diagonalUp="0" diagonalDown="0">
            <left/>
            <right/>
            <top/>
            <bottom/>
            <vertical/>
            <horizontal/>
          </border>
        </dxf>
        <dxf>
          <font>
            <b/>
            <i val="0"/>
            <sz val="9"/>
            <color theme="0"/>
            <name val="Arial Narrow"/>
            <family val="2"/>
            <scheme val="none"/>
          </font>
          <fill>
            <patternFill>
              <fgColor rgb="FF084C2C"/>
              <bgColor rgb="FF084C2C"/>
            </patternFill>
          </fill>
          <border diagonalUp="0" diagonalDown="0">
            <left/>
            <right/>
            <top/>
            <bottom/>
            <vertical/>
            <horizontal/>
          </border>
        </dxf>
        <dxf>
          <font>
            <b/>
            <i val="0"/>
            <sz val="9"/>
            <name val="Arial Narrow"/>
            <family val="2"/>
            <scheme val="none"/>
          </font>
          <fill>
            <patternFill>
              <bgColor theme="0" tint="-0.14996795556505021"/>
            </patternFill>
          </fill>
          <border diagonalUp="0" diagonalDown="0">
            <left/>
            <right/>
            <top/>
            <bottom/>
            <vertical/>
            <horizontal/>
          </border>
        </dxf>
        <dxf>
          <font>
            <b/>
            <i val="0"/>
            <sz val="9"/>
            <color theme="0"/>
            <name val="Arial Narrow"/>
            <family val="2"/>
            <scheme val="none"/>
          </font>
          <fill>
            <patternFill>
              <bgColor rgb="FF084C2C"/>
            </patternFill>
          </fill>
          <border diagonalUp="0" diagonalDown="0">
            <left/>
            <right/>
            <top/>
            <bottom/>
            <vertical/>
            <horizontal/>
          </border>
        </dxf>
        <dxf>
          <font>
            <b/>
            <i val="0"/>
            <sz val="9"/>
            <color auto="1"/>
            <name val="Arial Narrow"/>
            <family val="2"/>
            <scheme val="none"/>
          </font>
          <fill>
            <patternFill>
              <fgColor auto="1"/>
              <bgColor theme="0" tint="-0.14996795556505021"/>
            </patternFill>
          </fill>
          <border diagonalUp="0" diagonalDown="0">
            <left/>
            <right/>
            <top/>
            <bottom/>
            <vertical/>
            <horizontal/>
          </border>
        </dxf>
        <dxf>
          <font>
            <b/>
            <i val="0"/>
            <sz val="9"/>
            <color theme="0"/>
            <name val="Arial Narrow"/>
            <family val="2"/>
            <scheme val="none"/>
          </font>
          <fill>
            <patternFill>
              <bgColor rgb="FF084C2C"/>
            </patternFill>
          </fill>
        </dxf>
        <dxf>
          <font>
            <b/>
            <i val="0"/>
            <sz val="9"/>
            <color theme="0"/>
            <name val="Arial Narrow"/>
            <family val="2"/>
            <scheme val="none"/>
          </font>
          <fill>
            <patternFill>
              <bgColor rgb="FF084C2C"/>
            </patternFill>
          </fill>
          <border diagonalUp="0" diagonalDown="0">
            <left/>
            <right/>
            <top/>
            <bottom/>
            <vertical/>
            <horizontal/>
          </border>
        </dxf>
        <dxf>
          <font>
            <b/>
            <i val="0"/>
            <sz val="9"/>
            <color theme="0"/>
            <name val="Arial Narrow"/>
            <family val="2"/>
            <scheme val="none"/>
          </font>
          <fill>
            <patternFill>
              <bgColor rgb="FF084C2C"/>
            </patternFill>
          </fill>
        </dxf>
        <dxf>
          <font>
            <b/>
            <i val="0"/>
            <sz val="9"/>
            <color auto="1"/>
            <name val="Arial Narrow"/>
            <family val="2"/>
            <scheme val="none"/>
          </font>
          <fill>
            <patternFill>
              <bgColor theme="0" tint="-0.14996795556505021"/>
            </patternFill>
          </fill>
          <border diagonalUp="0" diagonalDown="0">
            <left/>
            <right/>
            <top/>
            <bottom/>
            <vertical/>
            <horizontal/>
          </border>
        </dxf>
        <dxf>
          <font>
            <b/>
            <i val="0"/>
            <sz val="9"/>
            <color auto="1"/>
            <name val="Arial Narrow"/>
            <family val="2"/>
            <scheme val="none"/>
          </font>
          <fill>
            <patternFill>
              <fgColor rgb="FF084C2C"/>
              <bgColor theme="0" tint="-0.14996795556505021"/>
            </patternFill>
          </fill>
          <border diagonalUp="0" diagonalDown="0">
            <left/>
            <right/>
            <top/>
            <bottom/>
            <vertical/>
            <horizontal/>
          </border>
        </dxf>
        <dxf>
          <font>
            <b/>
            <i val="0"/>
            <sz val="9"/>
            <color theme="0"/>
            <name val="Arial Narrow"/>
            <family val="2"/>
            <scheme val="none"/>
          </font>
          <fill>
            <patternFill>
              <bgColor rgb="FF084C2C"/>
            </patternFill>
          </fill>
          <border diagonalUp="0" diagonalDown="0">
            <left/>
            <right/>
            <top/>
            <bottom/>
            <vertical/>
            <horizontal/>
          </border>
        </dxf>
        <dxf>
          <font>
            <b/>
            <i val="0"/>
            <sz val="9"/>
            <color theme="0"/>
            <name val="Arial Narrow"/>
            <family val="2"/>
            <scheme val="none"/>
          </font>
          <fill>
            <patternFill>
              <bgColor rgb="FF084C2C"/>
            </patternFill>
          </fill>
          <border diagonalUp="0" diagonalDown="0">
            <left/>
            <right/>
            <top/>
            <bottom/>
            <vertical/>
            <horizontal/>
          </border>
        </dxf>
        <dxf>
          <fill>
            <patternFill>
              <bgColor rgb="FF084C2C"/>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NoData" dxfId="14"/>
          </x14:slicerStyleElements>
        </x14:slicerStyle>
        <x14:slicerStyle name="Slicer Style 2">
          <x14:slicerStyleElements>
            <x14:slicerStyleElement type="unselectedItemWithData" dxfId="13"/>
            <x14:slicerStyleElement type="unselectedItemWithNoData" dxfId="12"/>
            <x14:slicerStyleElement type="selectedItemWithData" dxfId="11"/>
            <x14:slicerStyleElement type="selectedItemWithNoData" dxfId="10"/>
            <x14:slicerStyleElement type="hoveredUnselectedItemWithData" dxfId="9"/>
            <x14:slicerStyleElement type="hoveredSelectedItemWithData" dxfId="8"/>
            <x14:slicerStyleElement type="hoveredUnselectedItemWithNoData" dxfId="7"/>
            <x14:slicerStyleElement type="hoveredSelectedItemWithNoData" dxfId="6"/>
          </x14:slicerStyleElements>
        </x14:slicerStyle>
        <x14:slicerStyle name="Slicer Style 2 2">
          <x14:slicerStyleElements>
            <x14:slicerStyleElement type="unselectedItemWithData" dxfId="5"/>
            <x14:slicerStyleElement type="unselectedItemWithNoData" dxfId="4"/>
            <x14:slicerStyleElement type="selectedItemWithData" dxfId="3"/>
            <x14:slicerStyleElement type="selectedItemWithNo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29" Type="http://schemas.microsoft.com/office/2017/10/relationships/person" Target="persons/person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microsoft.com/office/2017/10/relationships/person" Target="persons/person.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microsoft.com/office/2017/10/relationships/person" Target="persons/pers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7.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Process.xlsx]Sales Trend!PivotTable1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200" b="1">
                <a:latin typeface="Arial Narrow" panose="020B0606020202030204" pitchFamily="34" charset="0"/>
              </a:rPr>
              <a:t>SALES</a:t>
            </a:r>
            <a:r>
              <a:rPr lang="en-US" sz="1200" b="1" baseline="0">
                <a:latin typeface="Arial Narrow" panose="020B0606020202030204" pitchFamily="34" charset="0"/>
              </a:rPr>
              <a:t> TREND REPORT</a:t>
            </a:r>
            <a:endParaRPr lang="en-US" sz="1200" b="1">
              <a:latin typeface="Arial Narrow" panose="020B060602020203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5400"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Trend'!$B$3</c:f>
              <c:strCache>
                <c:ptCount val="1"/>
                <c:pt idx="0">
                  <c:v>Total</c:v>
                </c:pt>
              </c:strCache>
            </c:strRef>
          </c:tx>
          <c:spPr>
            <a:ln w="25400" cap="rnd">
              <a:solidFill>
                <a:schemeClr val="accent1">
                  <a:lumMod val="5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Trend'!$B$4:$B$16</c:f>
              <c:numCache>
                <c:formatCode>"$"#,##0.00</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0-080C-4B2A-9683-019CD84736A7}"/>
            </c:ext>
          </c:extLst>
        </c:ser>
        <c:dLbls>
          <c:dLblPos val="t"/>
          <c:showLegendKey val="0"/>
          <c:showVal val="1"/>
          <c:showCatName val="0"/>
          <c:showSerName val="0"/>
          <c:showPercent val="0"/>
          <c:showBubbleSize val="0"/>
        </c:dLbls>
        <c:smooth val="0"/>
        <c:axId val="512723872"/>
        <c:axId val="512724232"/>
      </c:lineChart>
      <c:catAx>
        <c:axId val="512723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crossAx val="512724232"/>
        <c:crosses val="autoZero"/>
        <c:auto val="1"/>
        <c:lblAlgn val="ctr"/>
        <c:lblOffset val="100"/>
        <c:noMultiLvlLbl val="0"/>
      </c:catAx>
      <c:valAx>
        <c:axId val="512724232"/>
        <c:scaling>
          <c:orientation val="minMax"/>
        </c:scaling>
        <c:delete val="1"/>
        <c:axPos val="l"/>
        <c:numFmt formatCode="&quot;$&quot;#,##0.00" sourceLinked="1"/>
        <c:majorTickMark val="none"/>
        <c:minorTickMark val="none"/>
        <c:tickLblPos val="nextTo"/>
        <c:crossAx val="512723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2"/>
      </a:solidFill>
      <a:round/>
    </a:ln>
    <a:effectLst>
      <a:outerShdw blurRad="50800" dist="38100" dir="2700000" algn="tl"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Process.xlsx]Top 10 Customers!PivotTable1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latin typeface="Arial Narrow" panose="020B0606020202030204" pitchFamily="34" charset="0"/>
              </a:rPr>
              <a:t>TOP</a:t>
            </a:r>
            <a:r>
              <a:rPr lang="en-US" sz="1200" b="1" baseline="0">
                <a:latin typeface="Arial Narrow" panose="020B0606020202030204" pitchFamily="34" charset="0"/>
              </a:rPr>
              <a:t> 10 CUSTOMERS BY REVENUE</a:t>
            </a:r>
            <a:endParaRPr lang="en-US" sz="1200" b="1">
              <a:latin typeface="Arial Narrow" panose="020B0606020202030204" pitchFamily="34" charset="0"/>
            </a:endParaRPr>
          </a:p>
        </c:rich>
      </c:tx>
      <c:layout>
        <c:manualLayout>
          <c:xMode val="edge"/>
          <c:yMode val="edge"/>
          <c:x val="2.4845928734659132E-2"/>
          <c:y val="2.1535303201242605E-2"/>
        </c:manualLayout>
      </c:layout>
      <c:overlay val="0"/>
      <c:spPr>
        <a:noFill/>
        <a:ln>
          <a:noFill/>
        </a:ln>
        <a:effectLst/>
      </c:spPr>
    </c:title>
    <c:autoTitleDeleted val="0"/>
    <c:pivotFmts>
      <c:pivotFmt>
        <c:idx val="0"/>
        <c:spPr>
          <a:ln w="28575" cap="rnd">
            <a:solidFill>
              <a:srgbClr val="084C2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rgbClr val="084C2C"/>
            </a:solidFill>
            <a:round/>
          </a:ln>
          <a:effectLst/>
        </c:spPr>
        <c:marker>
          <c:symbol val="none"/>
        </c:marker>
        <c:dLbl>
          <c:idx val="0"/>
          <c:layout>
            <c:manualLayout>
              <c:x val="2.4860477908431227E-3"/>
              <c:y val="7.29141820432777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084C2C"/>
            </a:solidFill>
            <a:round/>
          </a:ln>
          <a:effectLst/>
        </c:spPr>
        <c:marker>
          <c:symbol val="none"/>
        </c:marker>
        <c:dLbl>
          <c:idx val="0"/>
          <c:layout>
            <c:manualLayout>
              <c:x val="8.9497720470352413E-2"/>
              <c:y val="3.589217200207100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084C2C"/>
            </a:solidFill>
            <a:round/>
          </a:ln>
          <a:effectLst/>
        </c:spPr>
        <c:marker>
          <c:symbol val="none"/>
        </c:marker>
        <c:dLbl>
          <c:idx val="0"/>
          <c:layout>
            <c:manualLayout>
              <c:x val="0.10441400721541105"/>
              <c:y val="3.23029548018639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084C2C"/>
            </a:solidFill>
            <a:round/>
          </a:ln>
          <a:effectLst/>
        </c:spPr>
        <c:marker>
          <c:symbol val="none"/>
        </c:marker>
        <c:dLbl>
          <c:idx val="0"/>
          <c:layout>
            <c:manualLayout>
              <c:x val="0.11933029396046989"/>
              <c:y val="8.25519956047631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084C2C"/>
            </a:solidFill>
            <a:round/>
          </a:ln>
          <a:effectLst/>
        </c:spPr>
        <c:marker>
          <c:symbol val="none"/>
        </c:marker>
        <c:dLbl>
          <c:idx val="0"/>
          <c:layout>
            <c:manualLayout>
              <c:x val="0.10441400721541115"/>
              <c:y val="0.150747122408698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084C2C"/>
            </a:solidFill>
            <a:round/>
          </a:ln>
          <a:effectLst/>
        </c:spPr>
        <c:marker>
          <c:symbol val="none"/>
        </c:marker>
        <c:dLbl>
          <c:idx val="0"/>
          <c:layout>
            <c:manualLayout>
              <c:x val="0"/>
              <c:y val="0.106056992062949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084C2C"/>
            </a:solidFill>
            <a:round/>
          </a:ln>
          <a:effectLst/>
        </c:spPr>
        <c:marker>
          <c:symbol val="none"/>
        </c:marker>
        <c:dLbl>
          <c:idx val="0"/>
          <c:layout>
            <c:manualLayout>
              <c:x val="-0.12181634175131301"/>
              <c:y val="0.178971174106227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084C2C"/>
            </a:solidFill>
            <a:round/>
          </a:ln>
          <a:effectLst/>
        </c:spPr>
        <c:marker>
          <c:symbol val="none"/>
        </c:marker>
        <c:dLbl>
          <c:idx val="0"/>
          <c:layout>
            <c:manualLayout>
              <c:x val="-0.17402334535901859"/>
              <c:y val="0.112685554066883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rgbClr val="084C2C"/>
            </a:solidFill>
            <a:round/>
          </a:ln>
          <a:effectLst/>
        </c:spPr>
        <c:marker>
          <c:symbol val="none"/>
        </c:marker>
        <c:dLbl>
          <c:idx val="0"/>
          <c:layout>
            <c:manualLayout>
              <c:x val="-0.17650939314986169"/>
              <c:y val="-1.3532183234331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084C2C"/>
            </a:solidFill>
            <a:round/>
          </a:ln>
          <a:effectLst/>
        </c:spPr>
        <c:marker>
          <c:symbol val="none"/>
        </c:marker>
        <c:dLbl>
          <c:idx val="0"/>
          <c:layout>
            <c:manualLayout>
              <c:x val="-0.14170472407805798"/>
              <c:y val="-0.123423041612233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radarChart>
        <c:radarStyle val="marker"/>
        <c:varyColors val="0"/>
        <c:ser>
          <c:idx val="0"/>
          <c:order val="0"/>
          <c:tx>
            <c:strRef>
              <c:f>'Top 10 Customers'!$B$3</c:f>
              <c:strCache>
                <c:ptCount val="1"/>
                <c:pt idx="0">
                  <c:v>Total</c:v>
                </c:pt>
              </c:strCache>
            </c:strRef>
          </c:tx>
          <c:spPr>
            <a:ln w="28575" cap="rnd">
              <a:solidFill>
                <a:srgbClr val="084C2C"/>
              </a:solidFill>
              <a:round/>
            </a:ln>
            <a:effectLst/>
          </c:spPr>
          <c:marker>
            <c:symbol val="none"/>
          </c:marker>
          <c:dPt>
            <c:idx val="0"/>
            <c:bubble3D val="0"/>
            <c:spPr>
              <a:ln w="28575" cap="rnd">
                <a:solidFill>
                  <a:srgbClr val="084C2C"/>
                </a:solidFill>
                <a:round/>
              </a:ln>
              <a:effectLst/>
            </c:spPr>
            <c:extLst>
              <c:ext xmlns:c16="http://schemas.microsoft.com/office/drawing/2014/chart" uri="{C3380CC4-5D6E-409C-BE32-E72D297353CC}">
                <c16:uniqueId val="{0000000B-6178-44AD-A79F-D896561F0B67}"/>
              </c:ext>
            </c:extLst>
          </c:dPt>
          <c:dPt>
            <c:idx val="1"/>
            <c:bubble3D val="0"/>
            <c:spPr>
              <a:ln w="28575" cap="rnd">
                <a:solidFill>
                  <a:srgbClr val="084C2C"/>
                </a:solidFill>
                <a:round/>
              </a:ln>
              <a:effectLst/>
            </c:spPr>
            <c:extLst>
              <c:ext xmlns:c16="http://schemas.microsoft.com/office/drawing/2014/chart" uri="{C3380CC4-5D6E-409C-BE32-E72D297353CC}">
                <c16:uniqueId val="{0000000A-6178-44AD-A79F-D896561F0B67}"/>
              </c:ext>
            </c:extLst>
          </c:dPt>
          <c:dPt>
            <c:idx val="2"/>
            <c:bubble3D val="0"/>
            <c:spPr>
              <a:ln w="28575" cap="rnd">
                <a:solidFill>
                  <a:srgbClr val="084C2C"/>
                </a:solidFill>
                <a:round/>
              </a:ln>
              <a:effectLst/>
            </c:spPr>
            <c:extLst>
              <c:ext xmlns:c16="http://schemas.microsoft.com/office/drawing/2014/chart" uri="{C3380CC4-5D6E-409C-BE32-E72D297353CC}">
                <c16:uniqueId val="{00000009-6178-44AD-A79F-D896561F0B67}"/>
              </c:ext>
            </c:extLst>
          </c:dPt>
          <c:dPt>
            <c:idx val="3"/>
            <c:bubble3D val="0"/>
            <c:spPr>
              <a:ln w="28575" cap="rnd">
                <a:solidFill>
                  <a:srgbClr val="084C2C"/>
                </a:solidFill>
                <a:round/>
              </a:ln>
              <a:effectLst/>
            </c:spPr>
            <c:extLst>
              <c:ext xmlns:c16="http://schemas.microsoft.com/office/drawing/2014/chart" uri="{C3380CC4-5D6E-409C-BE32-E72D297353CC}">
                <c16:uniqueId val="{00000008-6178-44AD-A79F-D896561F0B67}"/>
              </c:ext>
            </c:extLst>
          </c:dPt>
          <c:dPt>
            <c:idx val="4"/>
            <c:bubble3D val="0"/>
            <c:spPr>
              <a:ln w="28575" cap="rnd">
                <a:solidFill>
                  <a:srgbClr val="084C2C"/>
                </a:solidFill>
                <a:round/>
              </a:ln>
              <a:effectLst/>
            </c:spPr>
            <c:extLst>
              <c:ext xmlns:c16="http://schemas.microsoft.com/office/drawing/2014/chart" uri="{C3380CC4-5D6E-409C-BE32-E72D297353CC}">
                <c16:uniqueId val="{00000007-6178-44AD-A79F-D896561F0B67}"/>
              </c:ext>
            </c:extLst>
          </c:dPt>
          <c:dPt>
            <c:idx val="5"/>
            <c:bubble3D val="0"/>
            <c:spPr>
              <a:ln w="28575" cap="rnd">
                <a:solidFill>
                  <a:srgbClr val="084C2C"/>
                </a:solidFill>
                <a:round/>
              </a:ln>
              <a:effectLst/>
            </c:spPr>
            <c:extLst>
              <c:ext xmlns:c16="http://schemas.microsoft.com/office/drawing/2014/chart" uri="{C3380CC4-5D6E-409C-BE32-E72D297353CC}">
                <c16:uniqueId val="{00000006-6178-44AD-A79F-D896561F0B67}"/>
              </c:ext>
            </c:extLst>
          </c:dPt>
          <c:dPt>
            <c:idx val="6"/>
            <c:bubble3D val="0"/>
            <c:spPr>
              <a:ln w="28575" cap="rnd">
                <a:solidFill>
                  <a:srgbClr val="084C2C"/>
                </a:solidFill>
                <a:round/>
              </a:ln>
              <a:effectLst/>
            </c:spPr>
            <c:extLst>
              <c:ext xmlns:c16="http://schemas.microsoft.com/office/drawing/2014/chart" uri="{C3380CC4-5D6E-409C-BE32-E72D297353CC}">
                <c16:uniqueId val="{00000005-6178-44AD-A79F-D896561F0B67}"/>
              </c:ext>
            </c:extLst>
          </c:dPt>
          <c:dPt>
            <c:idx val="7"/>
            <c:bubble3D val="0"/>
            <c:spPr>
              <a:ln w="28575" cap="rnd">
                <a:solidFill>
                  <a:srgbClr val="084C2C"/>
                </a:solidFill>
                <a:round/>
              </a:ln>
              <a:effectLst/>
            </c:spPr>
            <c:extLst>
              <c:ext xmlns:c16="http://schemas.microsoft.com/office/drawing/2014/chart" uri="{C3380CC4-5D6E-409C-BE32-E72D297353CC}">
                <c16:uniqueId val="{00000004-6178-44AD-A79F-D896561F0B67}"/>
              </c:ext>
            </c:extLst>
          </c:dPt>
          <c:dPt>
            <c:idx val="8"/>
            <c:bubble3D val="0"/>
            <c:spPr>
              <a:ln w="28575" cap="rnd">
                <a:solidFill>
                  <a:srgbClr val="084C2C"/>
                </a:solidFill>
                <a:round/>
              </a:ln>
              <a:effectLst/>
            </c:spPr>
            <c:extLst>
              <c:ext xmlns:c16="http://schemas.microsoft.com/office/drawing/2014/chart" uri="{C3380CC4-5D6E-409C-BE32-E72D297353CC}">
                <c16:uniqueId val="{00000003-6178-44AD-A79F-D896561F0B67}"/>
              </c:ext>
            </c:extLst>
          </c:dPt>
          <c:dPt>
            <c:idx val="9"/>
            <c:bubble3D val="0"/>
            <c:spPr>
              <a:ln w="28575" cap="rnd">
                <a:solidFill>
                  <a:srgbClr val="084C2C"/>
                </a:solidFill>
                <a:round/>
              </a:ln>
              <a:effectLst/>
            </c:spPr>
            <c:extLst>
              <c:ext xmlns:c16="http://schemas.microsoft.com/office/drawing/2014/chart" uri="{C3380CC4-5D6E-409C-BE32-E72D297353CC}">
                <c16:uniqueId val="{00000002-6178-44AD-A79F-D896561F0B67}"/>
              </c:ext>
            </c:extLst>
          </c:dPt>
          <c:dLbls>
            <c:dLbl>
              <c:idx val="0"/>
              <c:layout>
                <c:manualLayout>
                  <c:x val="2.4860477908431227E-3"/>
                  <c:y val="7.29141820432777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178-44AD-A79F-D896561F0B67}"/>
                </c:ext>
              </c:extLst>
            </c:dLbl>
            <c:dLbl>
              <c:idx val="1"/>
              <c:layout>
                <c:manualLayout>
                  <c:x val="8.9497720470352413E-2"/>
                  <c:y val="3.589217200207100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178-44AD-A79F-D896561F0B67}"/>
                </c:ext>
              </c:extLst>
            </c:dLbl>
            <c:dLbl>
              <c:idx val="2"/>
              <c:layout>
                <c:manualLayout>
                  <c:x val="0.10441400721541105"/>
                  <c:y val="3.23029548018639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178-44AD-A79F-D896561F0B67}"/>
                </c:ext>
              </c:extLst>
            </c:dLbl>
            <c:dLbl>
              <c:idx val="3"/>
              <c:layout>
                <c:manualLayout>
                  <c:x val="0.11933029396046989"/>
                  <c:y val="8.25519956047631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178-44AD-A79F-D896561F0B67}"/>
                </c:ext>
              </c:extLst>
            </c:dLbl>
            <c:dLbl>
              <c:idx val="4"/>
              <c:layout>
                <c:manualLayout>
                  <c:x val="0.10441400721541115"/>
                  <c:y val="0.1507471224086982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178-44AD-A79F-D896561F0B67}"/>
                </c:ext>
              </c:extLst>
            </c:dLbl>
            <c:dLbl>
              <c:idx val="5"/>
              <c:layout>
                <c:manualLayout>
                  <c:x val="0"/>
                  <c:y val="0.106056992062949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178-44AD-A79F-D896561F0B67}"/>
                </c:ext>
              </c:extLst>
            </c:dLbl>
            <c:dLbl>
              <c:idx val="6"/>
              <c:layout>
                <c:manualLayout>
                  <c:x val="-0.12181634175131301"/>
                  <c:y val="0.178971174106227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178-44AD-A79F-D896561F0B67}"/>
                </c:ext>
              </c:extLst>
            </c:dLbl>
            <c:dLbl>
              <c:idx val="7"/>
              <c:layout>
                <c:manualLayout>
                  <c:x val="-0.17402334535901859"/>
                  <c:y val="0.112685554066883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178-44AD-A79F-D896561F0B67}"/>
                </c:ext>
              </c:extLst>
            </c:dLbl>
            <c:dLbl>
              <c:idx val="8"/>
              <c:layout>
                <c:manualLayout>
                  <c:x val="-0.17650939314986169"/>
                  <c:y val="-1.3532183234331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178-44AD-A79F-D896561F0B67}"/>
                </c:ext>
              </c:extLst>
            </c:dLbl>
            <c:dLbl>
              <c:idx val="9"/>
              <c:layout>
                <c:manualLayout>
                  <c:x val="-0.14170472407805798"/>
                  <c:y val="-0.123423041612233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2-6178-44AD-A79F-D896561F0B6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Customers'!$A$4:$A$14</c:f>
              <c:strCache>
                <c:ptCount val="10"/>
                <c:pt idx="0">
                  <c:v>Company D</c:v>
                </c:pt>
                <c:pt idx="1">
                  <c:v>Company H</c:v>
                </c:pt>
                <c:pt idx="2">
                  <c:v>Company BB</c:v>
                </c:pt>
                <c:pt idx="3">
                  <c:v>Company F</c:v>
                </c:pt>
                <c:pt idx="4">
                  <c:v>Company A</c:v>
                </c:pt>
                <c:pt idx="5">
                  <c:v>Company I</c:v>
                </c:pt>
                <c:pt idx="6">
                  <c:v>Company J</c:v>
                </c:pt>
                <c:pt idx="7">
                  <c:v>Company Z</c:v>
                </c:pt>
                <c:pt idx="8">
                  <c:v>Company C</c:v>
                </c:pt>
                <c:pt idx="9">
                  <c:v>Company K</c:v>
                </c:pt>
              </c:strCache>
            </c:strRef>
          </c:cat>
          <c:val>
            <c:numRef>
              <c:f>'Top 10 Customers'!$B$4:$B$14</c:f>
              <c:numCache>
                <c:formatCode>"$"#,##0.00</c:formatCode>
                <c:ptCount val="10"/>
                <c:pt idx="0">
                  <c:v>67180.5</c:v>
                </c:pt>
                <c:pt idx="1">
                  <c:v>50208.35</c:v>
                </c:pt>
                <c:pt idx="2">
                  <c:v>43713</c:v>
                </c:pt>
                <c:pt idx="3">
                  <c:v>37428</c:v>
                </c:pt>
                <c:pt idx="4">
                  <c:v>36839.990000000005</c:v>
                </c:pt>
                <c:pt idx="5">
                  <c:v>32530.6</c:v>
                </c:pt>
                <c:pt idx="6">
                  <c:v>29133.009999999995</c:v>
                </c:pt>
                <c:pt idx="7">
                  <c:v>28208.250000000007</c:v>
                </c:pt>
                <c:pt idx="8">
                  <c:v>27005.38</c:v>
                </c:pt>
                <c:pt idx="9">
                  <c:v>21937.08</c:v>
                </c:pt>
              </c:numCache>
            </c:numRef>
          </c:val>
          <c:extLst>
            <c:ext xmlns:c16="http://schemas.microsoft.com/office/drawing/2014/chart" uri="{C3380CC4-5D6E-409C-BE32-E72D297353CC}">
              <c16:uniqueId val="{00000000-6178-44AD-A79F-D896561F0B67}"/>
            </c:ext>
          </c:extLst>
        </c:ser>
        <c:dLbls>
          <c:showLegendKey val="0"/>
          <c:showVal val="1"/>
          <c:showCatName val="0"/>
          <c:showSerName val="0"/>
          <c:showPercent val="0"/>
          <c:showBubbleSize val="0"/>
        </c:dLbls>
        <c:axId val="547988360"/>
        <c:axId val="547987640"/>
      </c:radarChart>
      <c:catAx>
        <c:axId val="547988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crossAx val="547987640"/>
        <c:crosses val="autoZero"/>
        <c:auto val="1"/>
        <c:lblAlgn val="ctr"/>
        <c:lblOffset val="100"/>
        <c:noMultiLvlLbl val="0"/>
      </c:catAx>
      <c:valAx>
        <c:axId val="547987640"/>
        <c:scaling>
          <c:orientation val="minMax"/>
        </c:scaling>
        <c:delete val="1"/>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quot;$&quot;#,##0.00" sourceLinked="1"/>
        <c:majorTickMark val="none"/>
        <c:minorTickMark val="none"/>
        <c:tickLblPos val="nextTo"/>
        <c:crossAx val="547988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50000"/>
          <a:lumOff val="50000"/>
        </a:schemeClr>
      </a:solidFill>
      <a:round/>
    </a:ln>
    <a:effectLst>
      <a:outerShdw blurRad="50800" dist="38100" dir="2700000" algn="tl"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Process.xlsx]Sales by Rep!PivotTable1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latin typeface="Arial Narrow" panose="020B0606020202030204" pitchFamily="34" charset="0"/>
              </a:rPr>
              <a:t>SALES</a:t>
            </a:r>
            <a:r>
              <a:rPr lang="en-US" sz="1400" b="1" baseline="0">
                <a:latin typeface="Arial Narrow" panose="020B0606020202030204" pitchFamily="34" charset="0"/>
              </a:rPr>
              <a:t> BY REP</a:t>
            </a:r>
            <a:endParaRPr lang="en-US" sz="1400" b="1">
              <a:latin typeface="Arial Narrow" panose="020B0606020202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1">
              <a:lumMod val="50000"/>
            </a:schemeClr>
          </a:solidFill>
          <a:ln>
            <a:noFill/>
          </a:ln>
          <a:effectLst/>
        </c:spPr>
      </c:pivotFmt>
      <c:pivotFmt>
        <c:idx val="3"/>
        <c:spPr>
          <a:solidFill>
            <a:schemeClr val="accent5">
              <a:lumMod val="75000"/>
            </a:schemeClr>
          </a:solidFill>
          <a:ln>
            <a:noFill/>
          </a:ln>
          <a:effectLst/>
        </c:spPr>
      </c:pivotFmt>
      <c:pivotFmt>
        <c:idx val="4"/>
        <c:spPr>
          <a:solidFill>
            <a:schemeClr val="accent1">
              <a:lumMod val="75000"/>
            </a:schemeClr>
          </a:solidFill>
          <a:ln>
            <a:noFill/>
          </a:ln>
          <a:effectLst/>
        </c:spPr>
      </c:pivotFmt>
      <c:pivotFmt>
        <c:idx val="5"/>
        <c:spPr>
          <a:solidFill>
            <a:schemeClr val="accent1">
              <a:lumMod val="75000"/>
            </a:schemeClr>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60000"/>
              <a:lumOff val="40000"/>
            </a:schemeClr>
          </a:solidFill>
          <a:ln>
            <a:noFill/>
          </a:ln>
          <a:effectLst/>
        </c:spPr>
      </c:pivotFmt>
      <c:pivotFmt>
        <c:idx val="8"/>
        <c:spPr>
          <a:solidFill>
            <a:schemeClr val="accent1">
              <a:lumMod val="60000"/>
              <a:lumOff val="40000"/>
            </a:schemeClr>
          </a:solidFill>
          <a:ln>
            <a:noFill/>
          </a:ln>
          <a:effectLst/>
        </c:spPr>
      </c:pivotFmt>
      <c:pivotFmt>
        <c:idx val="9"/>
        <c:spPr>
          <a:solidFill>
            <a:schemeClr val="accent5">
              <a:lumMod val="20000"/>
              <a:lumOff val="80000"/>
            </a:schemeClr>
          </a:solidFill>
          <a:ln>
            <a:noFill/>
          </a:ln>
          <a:effectLst/>
        </c:spPr>
      </c:pivotFmt>
      <c:pivotFmt>
        <c:idx val="10"/>
        <c:spPr>
          <a:solidFill>
            <a:schemeClr val="accent1">
              <a:lumMod val="20000"/>
              <a:lumOff val="80000"/>
            </a:schemeClr>
          </a:solidFill>
          <a:ln>
            <a:noFill/>
          </a:ln>
          <a:effectLst/>
        </c:spPr>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20000"/>
              <a:lumOff val="80000"/>
            </a:schemeClr>
          </a:solidFill>
          <a:ln>
            <a:noFill/>
          </a:ln>
          <a:effectLst/>
        </c:spPr>
      </c:pivotFmt>
      <c:pivotFmt>
        <c:idx val="13"/>
        <c:spPr>
          <a:solidFill>
            <a:schemeClr val="accent5">
              <a:lumMod val="20000"/>
              <a:lumOff val="80000"/>
            </a:schemeClr>
          </a:solidFill>
          <a:ln>
            <a:noFill/>
          </a:ln>
          <a:effectLst/>
        </c:spPr>
      </c:pivotFmt>
      <c:pivotFmt>
        <c:idx val="14"/>
        <c:spPr>
          <a:solidFill>
            <a:schemeClr val="accent1">
              <a:lumMod val="60000"/>
              <a:lumOff val="40000"/>
            </a:schemeClr>
          </a:solidFill>
          <a:ln>
            <a:noFill/>
          </a:ln>
          <a:effectLst/>
        </c:spPr>
      </c:pivotFmt>
      <c:pivotFmt>
        <c:idx val="15"/>
        <c:spPr>
          <a:solidFill>
            <a:schemeClr val="accent5">
              <a:lumMod val="60000"/>
              <a:lumOff val="40000"/>
            </a:schemeClr>
          </a:solidFill>
          <a:ln>
            <a:noFill/>
          </a:ln>
          <a:effectLst/>
        </c:spPr>
      </c:pivotFmt>
      <c:pivotFmt>
        <c:idx val="16"/>
        <c:spPr>
          <a:solidFill>
            <a:schemeClr val="accent5">
              <a:lumMod val="60000"/>
              <a:lumOff val="40000"/>
            </a:schemeClr>
          </a:solidFill>
          <a:ln>
            <a:noFill/>
          </a:ln>
          <a:effectLst/>
        </c:spPr>
      </c:pivotFmt>
      <c:pivotFmt>
        <c:idx val="17"/>
        <c:spPr>
          <a:solidFill>
            <a:schemeClr val="accent1">
              <a:lumMod val="75000"/>
            </a:schemeClr>
          </a:solidFill>
          <a:ln>
            <a:noFill/>
          </a:ln>
          <a:effectLst/>
        </c:spPr>
      </c:pivotFmt>
      <c:pivotFmt>
        <c:idx val="18"/>
        <c:spPr>
          <a:solidFill>
            <a:schemeClr val="accent1">
              <a:lumMod val="75000"/>
            </a:schemeClr>
          </a:solidFill>
          <a:ln>
            <a:noFill/>
          </a:ln>
          <a:effectLst/>
        </c:spPr>
      </c:pivotFmt>
      <c:pivotFmt>
        <c:idx val="19"/>
        <c:spPr>
          <a:solidFill>
            <a:schemeClr val="accent5">
              <a:lumMod val="75000"/>
            </a:schemeClr>
          </a:solidFill>
          <a:ln>
            <a:noFill/>
          </a:ln>
          <a:effectLst/>
        </c:spPr>
      </c:pivotFmt>
      <c:pivotFmt>
        <c:idx val="20"/>
        <c:spPr>
          <a:solidFill>
            <a:schemeClr val="accent1">
              <a:lumMod val="50000"/>
            </a:schemeClr>
          </a:solidFill>
          <a:ln>
            <a:noFill/>
          </a:ln>
          <a:effectLst/>
        </c:spPr>
      </c:pivotFmt>
      <c:pivotFmt>
        <c:idx val="21"/>
        <c:spPr>
          <a:solidFill>
            <a:schemeClr val="accent5">
              <a:lumMod val="50000"/>
            </a:schemeClr>
          </a:solidFill>
          <a:ln>
            <a:noFill/>
          </a:ln>
          <a:effectLst/>
        </c:spPr>
      </c:pivotFmt>
      <c:pivotFmt>
        <c:idx val="22"/>
        <c:spPr>
          <a:solidFill>
            <a:schemeClr val="accent5">
              <a:lumMod val="50000"/>
            </a:schemeClr>
          </a:solidFill>
          <a:ln>
            <a:solidFill>
              <a:schemeClr val="bg1"/>
            </a:solidFill>
          </a:ln>
          <a:effectLst/>
        </c:spPr>
      </c:pivotFmt>
      <c:pivotFmt>
        <c:idx val="23"/>
        <c:spPr>
          <a:solidFill>
            <a:schemeClr val="accent5">
              <a:lumMod val="50000"/>
            </a:schemeClr>
          </a:solidFill>
          <a:ln>
            <a:solidFill>
              <a:schemeClr val="bg1"/>
            </a:solidFill>
          </a:ln>
          <a:effectLst/>
        </c:spPr>
      </c:pivotFmt>
      <c:pivotFmt>
        <c:idx val="24"/>
        <c:spPr>
          <a:solidFill>
            <a:schemeClr val="accent5">
              <a:lumMod val="75000"/>
            </a:schemeClr>
          </a:solidFill>
          <a:ln>
            <a:solidFill>
              <a:schemeClr val="bg1"/>
            </a:solidFill>
          </a:ln>
          <a:effectLst/>
        </c:spPr>
      </c:pivotFmt>
      <c:pivotFmt>
        <c:idx val="25"/>
        <c:spPr>
          <a:solidFill>
            <a:schemeClr val="accent5">
              <a:lumMod val="75000"/>
            </a:schemeClr>
          </a:solidFill>
          <a:ln>
            <a:solidFill>
              <a:schemeClr val="bg1"/>
            </a:solidFill>
          </a:ln>
          <a:effectLst/>
        </c:spPr>
      </c:pivotFmt>
      <c:pivotFmt>
        <c:idx val="26"/>
        <c:spPr>
          <a:solidFill>
            <a:schemeClr val="accent5">
              <a:lumMod val="60000"/>
              <a:lumOff val="40000"/>
            </a:schemeClr>
          </a:solidFill>
          <a:ln>
            <a:solidFill>
              <a:schemeClr val="bg1"/>
            </a:solidFill>
          </a:ln>
          <a:effectLst/>
        </c:spPr>
      </c:pivotFmt>
      <c:pivotFmt>
        <c:idx val="27"/>
        <c:spPr>
          <a:solidFill>
            <a:schemeClr val="accent5">
              <a:lumMod val="60000"/>
              <a:lumOff val="40000"/>
            </a:schemeClr>
          </a:solidFill>
          <a:ln>
            <a:solidFill>
              <a:schemeClr val="bg1"/>
            </a:solidFill>
          </a:ln>
          <a:effectLst/>
        </c:spPr>
      </c:pivotFmt>
      <c:pivotFmt>
        <c:idx val="28"/>
        <c:spPr>
          <a:solidFill>
            <a:schemeClr val="accent5">
              <a:lumMod val="40000"/>
              <a:lumOff val="60000"/>
            </a:schemeClr>
          </a:solidFill>
          <a:ln>
            <a:solidFill>
              <a:schemeClr val="bg1"/>
            </a:solidFill>
          </a:ln>
          <a:effectLst/>
        </c:spPr>
      </c:pivotFmt>
      <c:pivotFmt>
        <c:idx val="29"/>
        <c:spPr>
          <a:solidFill>
            <a:schemeClr val="accent5">
              <a:lumMod val="20000"/>
              <a:lumOff val="80000"/>
            </a:schemeClr>
          </a:solidFill>
          <a:ln>
            <a:solidFill>
              <a:schemeClr val="bg1"/>
            </a:solidFill>
          </a:ln>
          <a:effectLst/>
        </c:spPr>
      </c:pivotFmt>
    </c:pivotFmts>
    <c:plotArea>
      <c:layout>
        <c:manualLayout>
          <c:layoutTarget val="inner"/>
          <c:xMode val="edge"/>
          <c:yMode val="edge"/>
          <c:x val="0.14904552956391942"/>
          <c:y val="8.7073998770826472E-2"/>
          <c:w val="0.83465433808128764"/>
          <c:h val="0.87617181909260056"/>
        </c:manualLayout>
      </c:layout>
      <c:barChart>
        <c:barDir val="bar"/>
        <c:grouping val="clustered"/>
        <c:varyColors val="0"/>
        <c:ser>
          <c:idx val="0"/>
          <c:order val="0"/>
          <c:tx>
            <c:strRef>
              <c:f>'Sales by Rep'!$B$3</c:f>
              <c:strCache>
                <c:ptCount val="1"/>
                <c:pt idx="0">
                  <c:v>Total</c:v>
                </c:pt>
              </c:strCache>
            </c:strRef>
          </c:tx>
          <c:spPr>
            <a:solidFill>
              <a:schemeClr val="accent1"/>
            </a:solidFill>
            <a:ln>
              <a:solidFill>
                <a:schemeClr val="bg1"/>
              </a:solidFill>
            </a:ln>
            <a:effectLst/>
          </c:spPr>
          <c:invertIfNegative val="0"/>
          <c:dPt>
            <c:idx val="0"/>
            <c:invertIfNegative val="0"/>
            <c:bubble3D val="0"/>
            <c:spPr>
              <a:solidFill>
                <a:schemeClr val="accent5">
                  <a:lumMod val="20000"/>
                  <a:lumOff val="80000"/>
                </a:schemeClr>
              </a:solidFill>
              <a:ln>
                <a:solidFill>
                  <a:schemeClr val="bg1"/>
                </a:solidFill>
              </a:ln>
              <a:effectLst/>
            </c:spPr>
            <c:extLst>
              <c:ext xmlns:c16="http://schemas.microsoft.com/office/drawing/2014/chart" uri="{C3380CC4-5D6E-409C-BE32-E72D297353CC}">
                <c16:uniqueId val="{00000001-D97F-4A64-AD1E-E1A9139AE021}"/>
              </c:ext>
            </c:extLst>
          </c:dPt>
          <c:dPt>
            <c:idx val="1"/>
            <c:invertIfNegative val="0"/>
            <c:bubble3D val="0"/>
            <c:spPr>
              <a:solidFill>
                <a:schemeClr val="accent5">
                  <a:lumMod val="40000"/>
                  <a:lumOff val="60000"/>
                </a:schemeClr>
              </a:solidFill>
              <a:ln>
                <a:solidFill>
                  <a:schemeClr val="bg1"/>
                </a:solidFill>
              </a:ln>
              <a:effectLst/>
            </c:spPr>
            <c:extLst>
              <c:ext xmlns:c16="http://schemas.microsoft.com/office/drawing/2014/chart" uri="{C3380CC4-5D6E-409C-BE32-E72D297353CC}">
                <c16:uniqueId val="{00000003-D97F-4A64-AD1E-E1A9139AE021}"/>
              </c:ext>
            </c:extLst>
          </c:dPt>
          <c:dPt>
            <c:idx val="2"/>
            <c:invertIfNegative val="0"/>
            <c:bubble3D val="0"/>
            <c:spPr>
              <a:solidFill>
                <a:schemeClr val="accent5">
                  <a:lumMod val="60000"/>
                  <a:lumOff val="40000"/>
                </a:schemeClr>
              </a:solidFill>
              <a:ln>
                <a:solidFill>
                  <a:schemeClr val="bg1"/>
                </a:solidFill>
              </a:ln>
              <a:effectLst/>
            </c:spPr>
            <c:extLst>
              <c:ext xmlns:c16="http://schemas.microsoft.com/office/drawing/2014/chart" uri="{C3380CC4-5D6E-409C-BE32-E72D297353CC}">
                <c16:uniqueId val="{00000005-D97F-4A64-AD1E-E1A9139AE021}"/>
              </c:ext>
            </c:extLst>
          </c:dPt>
          <c:dPt>
            <c:idx val="3"/>
            <c:invertIfNegative val="0"/>
            <c:bubble3D val="0"/>
            <c:spPr>
              <a:solidFill>
                <a:schemeClr val="accent5">
                  <a:lumMod val="60000"/>
                  <a:lumOff val="40000"/>
                </a:schemeClr>
              </a:solidFill>
              <a:ln>
                <a:solidFill>
                  <a:schemeClr val="bg1"/>
                </a:solidFill>
              </a:ln>
              <a:effectLst/>
            </c:spPr>
            <c:extLst>
              <c:ext xmlns:c16="http://schemas.microsoft.com/office/drawing/2014/chart" uri="{C3380CC4-5D6E-409C-BE32-E72D297353CC}">
                <c16:uniqueId val="{00000007-D97F-4A64-AD1E-E1A9139AE021}"/>
              </c:ext>
            </c:extLst>
          </c:dPt>
          <c:dPt>
            <c:idx val="4"/>
            <c:invertIfNegative val="0"/>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D97F-4A64-AD1E-E1A9139AE021}"/>
              </c:ext>
            </c:extLst>
          </c:dPt>
          <c:dPt>
            <c:idx val="5"/>
            <c:invertIfNegative val="0"/>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B-D97F-4A64-AD1E-E1A9139AE021}"/>
              </c:ext>
            </c:extLst>
          </c:dPt>
          <c:dPt>
            <c:idx val="6"/>
            <c:invertIfNegative val="0"/>
            <c:bubble3D val="0"/>
            <c:spPr>
              <a:solidFill>
                <a:schemeClr val="accent5">
                  <a:lumMod val="50000"/>
                </a:schemeClr>
              </a:solidFill>
              <a:ln>
                <a:solidFill>
                  <a:schemeClr val="bg1"/>
                </a:solidFill>
              </a:ln>
              <a:effectLst/>
            </c:spPr>
            <c:extLst>
              <c:ext xmlns:c16="http://schemas.microsoft.com/office/drawing/2014/chart" uri="{C3380CC4-5D6E-409C-BE32-E72D297353CC}">
                <c16:uniqueId val="{0000000D-D97F-4A64-AD1E-E1A9139AE021}"/>
              </c:ext>
            </c:extLst>
          </c:dPt>
          <c:dPt>
            <c:idx val="7"/>
            <c:invertIfNegative val="0"/>
            <c:bubble3D val="0"/>
            <c:spPr>
              <a:solidFill>
                <a:schemeClr val="accent5">
                  <a:lumMod val="50000"/>
                </a:schemeClr>
              </a:solidFill>
              <a:ln>
                <a:solidFill>
                  <a:schemeClr val="bg1"/>
                </a:solidFill>
              </a:ln>
              <a:effectLst/>
            </c:spPr>
            <c:extLst>
              <c:ext xmlns:c16="http://schemas.microsoft.com/office/drawing/2014/chart" uri="{C3380CC4-5D6E-409C-BE32-E72D297353CC}">
                <c16:uniqueId val="{0000000F-D97F-4A64-AD1E-E1A9139AE021}"/>
              </c:ext>
            </c:extLst>
          </c:dPt>
          <c:dPt>
            <c:idx val="8"/>
            <c:invertIfNegative val="0"/>
            <c:bubble3D val="0"/>
            <c:extLst>
              <c:ext xmlns:c16="http://schemas.microsoft.com/office/drawing/2014/chart" uri="{C3380CC4-5D6E-409C-BE32-E72D297353CC}">
                <c16:uniqueId val="{00000011-D97F-4A64-AD1E-E1A9139AE021}"/>
              </c:ext>
            </c:extLst>
          </c:dPt>
          <c:dPt>
            <c:idx val="9"/>
            <c:invertIfNegative val="0"/>
            <c:bubble3D val="0"/>
            <c:extLst>
              <c:ext xmlns:c16="http://schemas.microsoft.com/office/drawing/2014/chart" uri="{C3380CC4-5D6E-409C-BE32-E72D297353CC}">
                <c16:uniqueId val="{00000013-D97F-4A64-AD1E-E1A9139AE02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Rep'!$A$4:$A$12</c:f>
              <c:strCache>
                <c:ptCount val="8"/>
                <c:pt idx="0">
                  <c:v>Jan Kotas</c:v>
                </c:pt>
                <c:pt idx="1">
                  <c:v>Robert Zare</c:v>
                </c:pt>
                <c:pt idx="2">
                  <c:v>Michael Neipper</c:v>
                </c:pt>
                <c:pt idx="3">
                  <c:v>Laura Giussani</c:v>
                </c:pt>
                <c:pt idx="4">
                  <c:v>Mariya Sergienko</c:v>
                </c:pt>
                <c:pt idx="5">
                  <c:v>Andrew Cencini</c:v>
                </c:pt>
                <c:pt idx="6">
                  <c:v>Anne Larsen</c:v>
                </c:pt>
                <c:pt idx="7">
                  <c:v>Nancy Freehafer</c:v>
                </c:pt>
              </c:strCache>
            </c:strRef>
          </c:cat>
          <c:val>
            <c:numRef>
              <c:f>'Sales by Rep'!$B$4:$B$12</c:f>
              <c:numCache>
                <c:formatCode>"$"#,##0.00</c:formatCode>
                <c:ptCount val="8"/>
                <c:pt idx="0">
                  <c:v>16350.5</c:v>
                </c:pt>
                <c:pt idx="1">
                  <c:v>32530.6</c:v>
                </c:pt>
                <c:pt idx="2">
                  <c:v>37428</c:v>
                </c:pt>
                <c:pt idx="3">
                  <c:v>41095.01</c:v>
                </c:pt>
                <c:pt idx="4">
                  <c:v>42370.880000000005</c:v>
                </c:pt>
                <c:pt idx="5">
                  <c:v>67180.5</c:v>
                </c:pt>
                <c:pt idx="6">
                  <c:v>93858.329999999987</c:v>
                </c:pt>
                <c:pt idx="7">
                  <c:v>104252.33999999997</c:v>
                </c:pt>
              </c:numCache>
            </c:numRef>
          </c:val>
          <c:extLst>
            <c:ext xmlns:c16="http://schemas.microsoft.com/office/drawing/2014/chart" uri="{C3380CC4-5D6E-409C-BE32-E72D297353CC}">
              <c16:uniqueId val="{00000014-D97F-4A64-AD1E-E1A9139AE021}"/>
            </c:ext>
          </c:extLst>
        </c:ser>
        <c:dLbls>
          <c:showLegendKey val="0"/>
          <c:showVal val="0"/>
          <c:showCatName val="0"/>
          <c:showSerName val="0"/>
          <c:showPercent val="0"/>
          <c:showBubbleSize val="0"/>
        </c:dLbls>
        <c:gapWidth val="22"/>
        <c:axId val="547988360"/>
        <c:axId val="547987640"/>
      </c:barChart>
      <c:catAx>
        <c:axId val="547988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crossAx val="547987640"/>
        <c:crosses val="autoZero"/>
        <c:auto val="1"/>
        <c:lblAlgn val="ctr"/>
        <c:lblOffset val="100"/>
        <c:noMultiLvlLbl val="0"/>
      </c:catAx>
      <c:valAx>
        <c:axId val="547987640"/>
        <c:scaling>
          <c:orientation val="minMax"/>
        </c:scaling>
        <c:delete val="1"/>
        <c:axPos val="b"/>
        <c:numFmt formatCode="&quot;$&quot;#,##0.00" sourceLinked="1"/>
        <c:majorTickMark val="none"/>
        <c:minorTickMark val="none"/>
        <c:tickLblPos val="nextTo"/>
        <c:crossAx val="547988360"/>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Process.xlsx]Sales by Region!PivotTable1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latin typeface="Arial Narrow" panose="020B0606020202030204" pitchFamily="34" charset="0"/>
              </a:rPr>
              <a:t>SALES</a:t>
            </a:r>
            <a:r>
              <a:rPr lang="en-US" sz="1400" b="1" baseline="0">
                <a:latin typeface="Arial Narrow" panose="020B0606020202030204" pitchFamily="34" charset="0"/>
              </a:rPr>
              <a:t> BY REGION</a:t>
            </a:r>
            <a:endParaRPr lang="en-US" sz="1400" b="1">
              <a:latin typeface="Arial Narrow" panose="020B0606020202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1">
              <a:lumMod val="50000"/>
            </a:schemeClr>
          </a:solidFill>
          <a:ln>
            <a:noFill/>
          </a:ln>
          <a:effectLst/>
        </c:spPr>
      </c:pivotFmt>
      <c:pivotFmt>
        <c:idx val="3"/>
        <c:spPr>
          <a:solidFill>
            <a:schemeClr val="accent5">
              <a:lumMod val="75000"/>
            </a:schemeClr>
          </a:solidFill>
          <a:ln>
            <a:noFill/>
          </a:ln>
          <a:effectLst/>
        </c:spPr>
      </c:pivotFmt>
      <c:pivotFmt>
        <c:idx val="4"/>
        <c:spPr>
          <a:solidFill>
            <a:schemeClr val="accent1">
              <a:lumMod val="75000"/>
            </a:schemeClr>
          </a:solidFill>
          <a:ln>
            <a:noFill/>
          </a:ln>
          <a:effectLst/>
        </c:spPr>
      </c:pivotFmt>
      <c:pivotFmt>
        <c:idx val="5"/>
        <c:spPr>
          <a:solidFill>
            <a:schemeClr val="accent1">
              <a:lumMod val="75000"/>
            </a:schemeClr>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60000"/>
              <a:lumOff val="40000"/>
            </a:schemeClr>
          </a:solidFill>
          <a:ln>
            <a:noFill/>
          </a:ln>
          <a:effectLst/>
        </c:spPr>
      </c:pivotFmt>
      <c:pivotFmt>
        <c:idx val="8"/>
        <c:spPr>
          <a:solidFill>
            <a:schemeClr val="accent1">
              <a:lumMod val="60000"/>
              <a:lumOff val="40000"/>
            </a:schemeClr>
          </a:solidFill>
          <a:ln>
            <a:noFill/>
          </a:ln>
          <a:effectLst/>
        </c:spPr>
      </c:pivotFmt>
      <c:pivotFmt>
        <c:idx val="9"/>
        <c:spPr>
          <a:solidFill>
            <a:schemeClr val="accent5">
              <a:lumMod val="20000"/>
              <a:lumOff val="80000"/>
            </a:schemeClr>
          </a:solidFill>
          <a:ln>
            <a:noFill/>
          </a:ln>
          <a:effectLst/>
        </c:spPr>
      </c:pivotFmt>
      <c:pivotFmt>
        <c:idx val="10"/>
        <c:spPr>
          <a:solidFill>
            <a:schemeClr val="accent1">
              <a:lumMod val="20000"/>
              <a:lumOff val="80000"/>
            </a:schemeClr>
          </a:solidFill>
          <a:ln>
            <a:noFill/>
          </a:ln>
          <a:effectLst/>
        </c:spPr>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20000"/>
              <a:lumOff val="80000"/>
            </a:schemeClr>
          </a:solidFill>
          <a:ln>
            <a:noFill/>
          </a:ln>
          <a:effectLst/>
        </c:spPr>
      </c:pivotFmt>
      <c:pivotFmt>
        <c:idx val="13"/>
        <c:spPr>
          <a:solidFill>
            <a:schemeClr val="accent5">
              <a:lumMod val="20000"/>
              <a:lumOff val="80000"/>
            </a:schemeClr>
          </a:solidFill>
          <a:ln>
            <a:noFill/>
          </a:ln>
          <a:effectLst/>
        </c:spPr>
      </c:pivotFmt>
      <c:pivotFmt>
        <c:idx val="14"/>
        <c:spPr>
          <a:solidFill>
            <a:schemeClr val="accent1">
              <a:lumMod val="60000"/>
              <a:lumOff val="40000"/>
            </a:schemeClr>
          </a:solidFill>
          <a:ln>
            <a:noFill/>
          </a:ln>
          <a:effectLst/>
        </c:spPr>
      </c:pivotFmt>
      <c:pivotFmt>
        <c:idx val="15"/>
        <c:spPr>
          <a:solidFill>
            <a:schemeClr val="accent5">
              <a:lumMod val="60000"/>
              <a:lumOff val="40000"/>
            </a:schemeClr>
          </a:solidFill>
          <a:ln>
            <a:noFill/>
          </a:ln>
          <a:effectLst/>
        </c:spPr>
      </c:pivotFmt>
      <c:pivotFmt>
        <c:idx val="16"/>
        <c:spPr>
          <a:solidFill>
            <a:schemeClr val="accent5">
              <a:lumMod val="60000"/>
              <a:lumOff val="40000"/>
            </a:schemeClr>
          </a:solidFill>
          <a:ln>
            <a:noFill/>
          </a:ln>
          <a:effectLst/>
        </c:spPr>
      </c:pivotFmt>
      <c:pivotFmt>
        <c:idx val="17"/>
        <c:spPr>
          <a:solidFill>
            <a:schemeClr val="accent1">
              <a:lumMod val="75000"/>
            </a:schemeClr>
          </a:solidFill>
          <a:ln>
            <a:noFill/>
          </a:ln>
          <a:effectLst/>
        </c:spPr>
      </c:pivotFmt>
      <c:pivotFmt>
        <c:idx val="18"/>
        <c:spPr>
          <a:solidFill>
            <a:schemeClr val="accent1">
              <a:lumMod val="75000"/>
            </a:schemeClr>
          </a:solidFill>
          <a:ln>
            <a:noFill/>
          </a:ln>
          <a:effectLst/>
        </c:spPr>
      </c:pivotFmt>
      <c:pivotFmt>
        <c:idx val="19"/>
        <c:spPr>
          <a:solidFill>
            <a:schemeClr val="accent5">
              <a:lumMod val="75000"/>
            </a:schemeClr>
          </a:solidFill>
          <a:ln>
            <a:noFill/>
          </a:ln>
          <a:effectLst/>
        </c:spPr>
      </c:pivotFmt>
      <c:pivotFmt>
        <c:idx val="20"/>
        <c:spPr>
          <a:solidFill>
            <a:schemeClr val="accent1">
              <a:lumMod val="50000"/>
            </a:schemeClr>
          </a:solidFill>
          <a:ln>
            <a:noFill/>
          </a:ln>
          <a:effectLst/>
        </c:spPr>
      </c:pivotFmt>
      <c:pivotFmt>
        <c:idx val="21"/>
        <c:spPr>
          <a:solidFill>
            <a:schemeClr val="accent5">
              <a:lumMod val="50000"/>
            </a:schemeClr>
          </a:solidFill>
          <a:ln>
            <a:noFill/>
          </a:ln>
          <a:effectLst/>
        </c:spPr>
      </c:pivotFmt>
      <c:pivotFmt>
        <c:idx val="22"/>
        <c:spPr>
          <a:solidFill>
            <a:schemeClr val="accent5">
              <a:lumMod val="50000"/>
            </a:schemeClr>
          </a:solidFill>
          <a:ln>
            <a:solidFill>
              <a:schemeClr val="bg1"/>
            </a:solidFill>
          </a:ln>
          <a:effectLst/>
        </c:spPr>
      </c:pivotFmt>
      <c:pivotFmt>
        <c:idx val="23"/>
        <c:spPr>
          <a:solidFill>
            <a:schemeClr val="accent5">
              <a:lumMod val="50000"/>
            </a:schemeClr>
          </a:solidFill>
          <a:ln>
            <a:solidFill>
              <a:schemeClr val="bg1"/>
            </a:solidFill>
          </a:ln>
          <a:effectLst/>
        </c:spPr>
      </c:pivotFmt>
      <c:pivotFmt>
        <c:idx val="24"/>
        <c:spPr>
          <a:solidFill>
            <a:schemeClr val="accent5">
              <a:lumMod val="75000"/>
            </a:schemeClr>
          </a:solidFill>
          <a:ln>
            <a:solidFill>
              <a:schemeClr val="bg1"/>
            </a:solidFill>
          </a:ln>
          <a:effectLst/>
        </c:spPr>
      </c:pivotFmt>
      <c:pivotFmt>
        <c:idx val="25"/>
        <c:spPr>
          <a:solidFill>
            <a:schemeClr val="accent5">
              <a:lumMod val="75000"/>
            </a:schemeClr>
          </a:solidFill>
          <a:ln>
            <a:solidFill>
              <a:schemeClr val="bg1"/>
            </a:solidFill>
          </a:ln>
          <a:effectLst/>
        </c:spPr>
      </c:pivotFmt>
      <c:pivotFmt>
        <c:idx val="26"/>
        <c:spPr>
          <a:solidFill>
            <a:schemeClr val="accent5">
              <a:lumMod val="60000"/>
              <a:lumOff val="40000"/>
            </a:schemeClr>
          </a:solidFill>
          <a:ln>
            <a:solidFill>
              <a:schemeClr val="bg1"/>
            </a:solidFill>
          </a:ln>
          <a:effectLst/>
        </c:spPr>
      </c:pivotFmt>
      <c:pivotFmt>
        <c:idx val="27"/>
        <c:spPr>
          <a:solidFill>
            <a:schemeClr val="accent5">
              <a:lumMod val="60000"/>
              <a:lumOff val="40000"/>
            </a:schemeClr>
          </a:solidFill>
          <a:ln>
            <a:solidFill>
              <a:schemeClr val="bg1"/>
            </a:solidFill>
          </a:ln>
          <a:effectLst/>
        </c:spPr>
      </c:pivotFmt>
      <c:pivotFmt>
        <c:idx val="28"/>
        <c:spPr>
          <a:solidFill>
            <a:schemeClr val="accent5">
              <a:lumMod val="40000"/>
              <a:lumOff val="60000"/>
            </a:schemeClr>
          </a:solidFill>
          <a:ln>
            <a:solidFill>
              <a:schemeClr val="bg1"/>
            </a:solidFill>
          </a:ln>
          <a:effectLst/>
        </c:spPr>
      </c:pivotFmt>
      <c:pivotFmt>
        <c:idx val="29"/>
        <c:spPr>
          <a:solidFill>
            <a:schemeClr val="accent5">
              <a:lumMod val="20000"/>
              <a:lumOff val="80000"/>
            </a:schemeClr>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5">
              <a:lumMod val="20000"/>
              <a:lumOff val="80000"/>
            </a:schemeClr>
          </a:solidFill>
          <a:ln>
            <a:solidFill>
              <a:schemeClr val="bg1"/>
            </a:solidFill>
          </a:ln>
          <a:effectLst/>
        </c:spPr>
      </c:pivotFmt>
      <c:pivotFmt>
        <c:idx val="32"/>
        <c:spPr>
          <a:solidFill>
            <a:schemeClr val="accent5">
              <a:lumMod val="40000"/>
              <a:lumOff val="60000"/>
            </a:schemeClr>
          </a:solidFill>
          <a:ln>
            <a:solidFill>
              <a:schemeClr val="bg1"/>
            </a:solidFill>
          </a:ln>
          <a:effectLst/>
        </c:spPr>
      </c:pivotFmt>
      <c:pivotFmt>
        <c:idx val="33"/>
        <c:spPr>
          <a:solidFill>
            <a:schemeClr val="accent5">
              <a:lumMod val="60000"/>
              <a:lumOff val="40000"/>
            </a:schemeClr>
          </a:solidFill>
          <a:ln>
            <a:solidFill>
              <a:schemeClr val="bg1"/>
            </a:solidFill>
          </a:ln>
          <a:effectLst/>
        </c:spPr>
      </c:pivotFmt>
      <c:pivotFmt>
        <c:idx val="34"/>
        <c:spPr>
          <a:solidFill>
            <a:schemeClr val="accent5">
              <a:lumMod val="60000"/>
              <a:lumOff val="40000"/>
            </a:schemeClr>
          </a:solidFill>
          <a:ln>
            <a:solidFill>
              <a:schemeClr val="bg1"/>
            </a:solidFill>
          </a:ln>
          <a:effectLst/>
        </c:spPr>
      </c:pivotFmt>
      <c:pivotFmt>
        <c:idx val="35"/>
        <c:spPr>
          <a:solidFill>
            <a:schemeClr val="accent5">
              <a:lumMod val="75000"/>
            </a:schemeClr>
          </a:solidFill>
          <a:ln>
            <a:solidFill>
              <a:schemeClr val="bg1"/>
            </a:solidFill>
          </a:ln>
          <a:effectLst/>
        </c:spPr>
      </c:pivotFmt>
      <c:pivotFmt>
        <c:idx val="36"/>
        <c:spPr>
          <a:solidFill>
            <a:schemeClr val="accent5">
              <a:lumMod val="75000"/>
            </a:schemeClr>
          </a:solidFill>
          <a:ln>
            <a:solidFill>
              <a:schemeClr val="bg1"/>
            </a:solidFill>
          </a:ln>
          <a:effectLst/>
        </c:spPr>
      </c:pivotFmt>
      <c:pivotFmt>
        <c:idx val="37"/>
        <c:spPr>
          <a:solidFill>
            <a:schemeClr val="accent5">
              <a:lumMod val="50000"/>
            </a:schemeClr>
          </a:solidFill>
          <a:ln>
            <a:solidFill>
              <a:schemeClr val="bg1"/>
            </a:solidFill>
          </a:ln>
          <a:effectLst/>
        </c:spPr>
      </c:pivotFmt>
      <c:pivotFmt>
        <c:idx val="38"/>
        <c:spPr>
          <a:solidFill>
            <a:schemeClr val="accent5">
              <a:lumMod val="50000"/>
            </a:schemeClr>
          </a:solidFill>
          <a:ln>
            <a:solidFill>
              <a:schemeClr val="bg1"/>
            </a:solidFill>
          </a:ln>
          <a:effectLst/>
        </c:spPr>
      </c:pivotFmt>
      <c:pivotFmt>
        <c:idx val="39"/>
        <c:spPr>
          <a:solidFill>
            <a:schemeClr val="accent5">
              <a:lumMod val="20000"/>
              <a:lumOff val="80000"/>
            </a:schemeClr>
          </a:solidFill>
          <a:ln>
            <a:noFill/>
          </a:ln>
          <a:effectLst/>
        </c:spPr>
      </c:pivotFmt>
      <c:pivotFmt>
        <c:idx val="40"/>
        <c:spPr>
          <a:solidFill>
            <a:schemeClr val="accent5">
              <a:lumMod val="60000"/>
              <a:lumOff val="40000"/>
            </a:schemeClr>
          </a:solidFill>
          <a:ln>
            <a:noFill/>
          </a:ln>
          <a:effectLst/>
        </c:spPr>
      </c:pivotFmt>
      <c:pivotFmt>
        <c:idx val="41"/>
        <c:spPr>
          <a:solidFill>
            <a:schemeClr val="accent5">
              <a:lumMod val="50000"/>
            </a:schemeClr>
          </a:solidFill>
          <a:ln>
            <a:noFill/>
          </a:ln>
          <a:effectLst/>
        </c:spPr>
      </c:pivotFmt>
      <c:pivotFmt>
        <c:idx val="42"/>
        <c:spPr>
          <a:solidFill>
            <a:schemeClr val="accent5">
              <a:lumMod val="75000"/>
            </a:schemeClr>
          </a:solidFill>
          <a:ln>
            <a:noFill/>
          </a:ln>
          <a:effectLst/>
        </c:spPr>
      </c:pivotFmt>
    </c:pivotFmts>
    <c:plotArea>
      <c:layout>
        <c:manualLayout>
          <c:layoutTarget val="inner"/>
          <c:xMode val="edge"/>
          <c:yMode val="edge"/>
          <c:x val="0.21708689090224992"/>
          <c:y val="0.16488309520576558"/>
          <c:w val="0.57469916953590017"/>
          <c:h val="0.83941763695602756"/>
        </c:manualLayout>
      </c:layout>
      <c:pieChart>
        <c:varyColors val="1"/>
        <c:ser>
          <c:idx val="0"/>
          <c:order val="0"/>
          <c:tx>
            <c:strRef>
              <c:f>'Sales by Region'!$B$3</c:f>
              <c:strCache>
                <c:ptCount val="1"/>
                <c:pt idx="0">
                  <c:v>Total</c:v>
                </c:pt>
              </c:strCache>
            </c:strRef>
          </c:tx>
          <c:spPr>
            <a:ln>
              <a:noFill/>
            </a:ln>
          </c:spPr>
          <c:dPt>
            <c:idx val="0"/>
            <c:bubble3D val="0"/>
            <c:spPr>
              <a:solidFill>
                <a:schemeClr val="accent5">
                  <a:lumMod val="20000"/>
                  <a:lumOff val="80000"/>
                </a:schemeClr>
              </a:solidFill>
              <a:ln>
                <a:noFill/>
              </a:ln>
              <a:effectLst/>
            </c:spPr>
            <c:extLst>
              <c:ext xmlns:c16="http://schemas.microsoft.com/office/drawing/2014/chart" uri="{C3380CC4-5D6E-409C-BE32-E72D297353CC}">
                <c16:uniqueId val="{00000001-9040-4C75-8238-6FF4C005BDF8}"/>
              </c:ext>
            </c:extLst>
          </c:dPt>
          <c:dPt>
            <c:idx val="1"/>
            <c:bubble3D val="0"/>
            <c:spPr>
              <a:solidFill>
                <a:schemeClr val="accent5">
                  <a:lumMod val="60000"/>
                  <a:lumOff val="40000"/>
                </a:schemeClr>
              </a:solidFill>
              <a:ln>
                <a:noFill/>
              </a:ln>
              <a:effectLst/>
            </c:spPr>
            <c:extLst>
              <c:ext xmlns:c16="http://schemas.microsoft.com/office/drawing/2014/chart" uri="{C3380CC4-5D6E-409C-BE32-E72D297353CC}">
                <c16:uniqueId val="{00000003-9040-4C75-8238-6FF4C005BDF8}"/>
              </c:ext>
            </c:extLst>
          </c:dPt>
          <c:dPt>
            <c:idx val="2"/>
            <c:bubble3D val="0"/>
            <c:spPr>
              <a:solidFill>
                <a:schemeClr val="accent5">
                  <a:lumMod val="75000"/>
                </a:schemeClr>
              </a:solidFill>
              <a:ln>
                <a:noFill/>
              </a:ln>
              <a:effectLst/>
            </c:spPr>
            <c:extLst>
              <c:ext xmlns:c16="http://schemas.microsoft.com/office/drawing/2014/chart" uri="{C3380CC4-5D6E-409C-BE32-E72D297353CC}">
                <c16:uniqueId val="{00000005-9040-4C75-8238-6FF4C005BDF8}"/>
              </c:ext>
            </c:extLst>
          </c:dPt>
          <c:dPt>
            <c:idx val="3"/>
            <c:bubble3D val="0"/>
            <c:spPr>
              <a:solidFill>
                <a:schemeClr val="accent5">
                  <a:lumMod val="50000"/>
                </a:schemeClr>
              </a:solidFill>
              <a:ln>
                <a:noFill/>
              </a:ln>
              <a:effectLst/>
            </c:spPr>
            <c:extLst>
              <c:ext xmlns:c16="http://schemas.microsoft.com/office/drawing/2014/chart" uri="{C3380CC4-5D6E-409C-BE32-E72D297353CC}">
                <c16:uniqueId val="{00000007-9040-4C75-8238-6FF4C005BDF8}"/>
              </c:ext>
            </c:extLst>
          </c:dPt>
          <c:dPt>
            <c:idx val="4"/>
            <c:bubble3D val="0"/>
            <c:spPr>
              <a:solidFill>
                <a:schemeClr val="accent5"/>
              </a:solidFill>
              <a:ln>
                <a:noFill/>
              </a:ln>
              <a:effectLst/>
            </c:spPr>
            <c:extLst>
              <c:ext xmlns:c16="http://schemas.microsoft.com/office/drawing/2014/chart" uri="{C3380CC4-5D6E-409C-BE32-E72D297353CC}">
                <c16:uniqueId val="{00000009-9040-4C75-8238-6FF4C005BDF8}"/>
              </c:ext>
            </c:extLst>
          </c:dPt>
          <c:dPt>
            <c:idx val="5"/>
            <c:bubble3D val="0"/>
            <c:spPr>
              <a:solidFill>
                <a:schemeClr val="accent6"/>
              </a:solidFill>
              <a:ln>
                <a:noFill/>
              </a:ln>
              <a:effectLst/>
            </c:spPr>
            <c:extLst>
              <c:ext xmlns:c16="http://schemas.microsoft.com/office/drawing/2014/chart" uri="{C3380CC4-5D6E-409C-BE32-E72D297353CC}">
                <c16:uniqueId val="{0000000B-9040-4C75-8238-6FF4C005BDF8}"/>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9040-4C75-8238-6FF4C005BDF8}"/>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9040-4C75-8238-6FF4C005BDF8}"/>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0-9040-4C75-8238-6FF4C005BDF8}"/>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1-9040-4C75-8238-6FF4C005BDF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Region'!$A$4:$A$8</c:f>
              <c:strCache>
                <c:ptCount val="4"/>
                <c:pt idx="0">
                  <c:v>West</c:v>
                </c:pt>
                <c:pt idx="1">
                  <c:v>South</c:v>
                </c:pt>
                <c:pt idx="2">
                  <c:v>East</c:v>
                </c:pt>
                <c:pt idx="3">
                  <c:v>North</c:v>
                </c:pt>
              </c:strCache>
            </c:strRef>
          </c:cat>
          <c:val>
            <c:numRef>
              <c:f>'Sales by Region'!$B$4:$B$8</c:f>
              <c:numCache>
                <c:formatCode>0.00%</c:formatCode>
                <c:ptCount val="4"/>
                <c:pt idx="0">
                  <c:v>0.20974276647947063</c:v>
                </c:pt>
                <c:pt idx="1">
                  <c:v>0.21573346453789927</c:v>
                </c:pt>
                <c:pt idx="2">
                  <c:v>0.24887136705828836</c:v>
                </c:pt>
                <c:pt idx="3">
                  <c:v>0.32565240192434181</c:v>
                </c:pt>
              </c:numCache>
            </c:numRef>
          </c:val>
          <c:extLst>
            <c:ext xmlns:c16="http://schemas.microsoft.com/office/drawing/2014/chart" uri="{C3380CC4-5D6E-409C-BE32-E72D297353CC}">
              <c16:uniqueId val="{00000012-9040-4C75-8238-6FF4C005BDF8}"/>
            </c:ext>
          </c:extLst>
        </c:ser>
        <c:dLbls>
          <c:showLegendKey val="0"/>
          <c:showVal val="0"/>
          <c:showCatName val="0"/>
          <c:showSerName val="0"/>
          <c:showPercent val="0"/>
          <c:showBubbleSize val="0"/>
          <c:showLeaderLines val="1"/>
        </c:dLbls>
        <c:firstSliceAng val="0"/>
      </c:pieChart>
      <c:spPr>
        <a:noFill/>
        <a:ln>
          <a:noFill/>
        </a:ln>
        <a:effectLst/>
      </c:spPr>
    </c:plotArea>
    <c:legend>
      <c:legendPos val="t"/>
      <c:layout>
        <c:manualLayout>
          <c:xMode val="edge"/>
          <c:yMode val="edge"/>
          <c:x val="0.13517242756493442"/>
          <c:y val="9.331329841415982E-2"/>
          <c:w val="0.66470644246338517"/>
          <c:h val="0.1137879007949781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Process.xlsx]Sales by Product category!PivotTable1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latin typeface="Arial Narrow" panose="020B0606020202030204" pitchFamily="34" charset="0"/>
              </a:rPr>
              <a:t>TOP 5 SALES</a:t>
            </a:r>
            <a:r>
              <a:rPr lang="en-US" sz="1400" b="1" baseline="0">
                <a:latin typeface="Arial Narrow" panose="020B0606020202030204" pitchFamily="34" charset="0"/>
              </a:rPr>
              <a:t> BY PRODUCT CATEGORY</a:t>
            </a:r>
            <a:endParaRPr lang="en-US" sz="1400" b="1">
              <a:latin typeface="Arial Narrow" panose="020B0606020202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1">
              <a:lumMod val="50000"/>
            </a:schemeClr>
          </a:solidFill>
          <a:ln>
            <a:noFill/>
          </a:ln>
          <a:effectLst/>
        </c:spPr>
      </c:pivotFmt>
      <c:pivotFmt>
        <c:idx val="3"/>
        <c:spPr>
          <a:solidFill>
            <a:schemeClr val="accent5">
              <a:lumMod val="75000"/>
            </a:schemeClr>
          </a:solidFill>
          <a:ln>
            <a:noFill/>
          </a:ln>
          <a:effectLst/>
        </c:spPr>
      </c:pivotFmt>
      <c:pivotFmt>
        <c:idx val="4"/>
        <c:spPr>
          <a:solidFill>
            <a:schemeClr val="accent1">
              <a:lumMod val="75000"/>
            </a:schemeClr>
          </a:solidFill>
          <a:ln>
            <a:noFill/>
          </a:ln>
          <a:effectLst/>
        </c:spPr>
      </c:pivotFmt>
      <c:pivotFmt>
        <c:idx val="5"/>
        <c:spPr>
          <a:solidFill>
            <a:schemeClr val="accent1">
              <a:lumMod val="75000"/>
            </a:schemeClr>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60000"/>
              <a:lumOff val="40000"/>
            </a:schemeClr>
          </a:solidFill>
          <a:ln>
            <a:noFill/>
          </a:ln>
          <a:effectLst/>
        </c:spPr>
      </c:pivotFmt>
      <c:pivotFmt>
        <c:idx val="8"/>
        <c:spPr>
          <a:solidFill>
            <a:schemeClr val="accent1">
              <a:lumMod val="60000"/>
              <a:lumOff val="40000"/>
            </a:schemeClr>
          </a:solidFill>
          <a:ln>
            <a:noFill/>
          </a:ln>
          <a:effectLst/>
        </c:spPr>
      </c:pivotFmt>
      <c:pivotFmt>
        <c:idx val="9"/>
        <c:spPr>
          <a:solidFill>
            <a:schemeClr val="accent5">
              <a:lumMod val="20000"/>
              <a:lumOff val="80000"/>
            </a:schemeClr>
          </a:solidFill>
          <a:ln>
            <a:noFill/>
          </a:ln>
          <a:effectLst/>
        </c:spPr>
      </c:pivotFmt>
      <c:pivotFmt>
        <c:idx val="10"/>
        <c:spPr>
          <a:solidFill>
            <a:schemeClr val="accent1">
              <a:lumMod val="20000"/>
              <a:lumOff val="80000"/>
            </a:schemeClr>
          </a:solidFill>
          <a:ln>
            <a:noFill/>
          </a:ln>
          <a:effectLst/>
        </c:spPr>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20000"/>
              <a:lumOff val="80000"/>
            </a:schemeClr>
          </a:solidFill>
          <a:ln>
            <a:noFill/>
          </a:ln>
          <a:effectLst/>
        </c:spPr>
      </c:pivotFmt>
      <c:pivotFmt>
        <c:idx val="13"/>
        <c:spPr>
          <a:solidFill>
            <a:schemeClr val="accent5">
              <a:lumMod val="20000"/>
              <a:lumOff val="80000"/>
            </a:schemeClr>
          </a:solidFill>
          <a:ln>
            <a:noFill/>
          </a:ln>
          <a:effectLst/>
        </c:spPr>
      </c:pivotFmt>
      <c:pivotFmt>
        <c:idx val="14"/>
        <c:spPr>
          <a:solidFill>
            <a:schemeClr val="accent1">
              <a:lumMod val="60000"/>
              <a:lumOff val="40000"/>
            </a:schemeClr>
          </a:solidFill>
          <a:ln>
            <a:noFill/>
          </a:ln>
          <a:effectLst/>
        </c:spPr>
      </c:pivotFmt>
      <c:pivotFmt>
        <c:idx val="15"/>
        <c:spPr>
          <a:solidFill>
            <a:schemeClr val="accent5">
              <a:lumMod val="60000"/>
              <a:lumOff val="40000"/>
            </a:schemeClr>
          </a:solidFill>
          <a:ln>
            <a:noFill/>
          </a:ln>
          <a:effectLst/>
        </c:spPr>
      </c:pivotFmt>
      <c:pivotFmt>
        <c:idx val="16"/>
        <c:spPr>
          <a:solidFill>
            <a:schemeClr val="accent5">
              <a:lumMod val="60000"/>
              <a:lumOff val="40000"/>
            </a:schemeClr>
          </a:solidFill>
          <a:ln>
            <a:noFill/>
          </a:ln>
          <a:effectLst/>
        </c:spPr>
      </c:pivotFmt>
      <c:pivotFmt>
        <c:idx val="17"/>
        <c:spPr>
          <a:solidFill>
            <a:schemeClr val="accent1">
              <a:lumMod val="75000"/>
            </a:schemeClr>
          </a:solidFill>
          <a:ln>
            <a:noFill/>
          </a:ln>
          <a:effectLst/>
        </c:spPr>
      </c:pivotFmt>
      <c:pivotFmt>
        <c:idx val="18"/>
        <c:spPr>
          <a:solidFill>
            <a:schemeClr val="accent1">
              <a:lumMod val="75000"/>
            </a:schemeClr>
          </a:solidFill>
          <a:ln>
            <a:noFill/>
          </a:ln>
          <a:effectLst/>
        </c:spPr>
      </c:pivotFmt>
      <c:pivotFmt>
        <c:idx val="19"/>
        <c:spPr>
          <a:solidFill>
            <a:schemeClr val="accent5">
              <a:lumMod val="75000"/>
            </a:schemeClr>
          </a:solidFill>
          <a:ln>
            <a:noFill/>
          </a:ln>
          <a:effectLst/>
        </c:spPr>
      </c:pivotFmt>
      <c:pivotFmt>
        <c:idx val="20"/>
        <c:spPr>
          <a:solidFill>
            <a:schemeClr val="accent1">
              <a:lumMod val="50000"/>
            </a:schemeClr>
          </a:solidFill>
          <a:ln>
            <a:noFill/>
          </a:ln>
          <a:effectLst/>
        </c:spPr>
      </c:pivotFmt>
      <c:pivotFmt>
        <c:idx val="21"/>
        <c:spPr>
          <a:solidFill>
            <a:schemeClr val="accent5">
              <a:lumMod val="50000"/>
            </a:schemeClr>
          </a:solidFill>
          <a:ln>
            <a:noFill/>
          </a:ln>
          <a:effectLst/>
        </c:spPr>
      </c:pivotFmt>
      <c:pivotFmt>
        <c:idx val="22"/>
        <c:spPr>
          <a:solidFill>
            <a:schemeClr val="accent5">
              <a:lumMod val="50000"/>
            </a:schemeClr>
          </a:solidFill>
          <a:ln>
            <a:solidFill>
              <a:schemeClr val="bg1"/>
            </a:solidFill>
          </a:ln>
          <a:effectLst/>
        </c:spPr>
      </c:pivotFmt>
      <c:pivotFmt>
        <c:idx val="23"/>
        <c:spPr>
          <a:solidFill>
            <a:schemeClr val="accent5">
              <a:lumMod val="50000"/>
            </a:schemeClr>
          </a:solidFill>
          <a:ln>
            <a:solidFill>
              <a:schemeClr val="bg1"/>
            </a:solidFill>
          </a:ln>
          <a:effectLst/>
        </c:spPr>
      </c:pivotFmt>
      <c:pivotFmt>
        <c:idx val="24"/>
        <c:spPr>
          <a:solidFill>
            <a:schemeClr val="accent5">
              <a:lumMod val="75000"/>
            </a:schemeClr>
          </a:solidFill>
          <a:ln>
            <a:solidFill>
              <a:schemeClr val="bg1"/>
            </a:solidFill>
          </a:ln>
          <a:effectLst/>
        </c:spPr>
      </c:pivotFmt>
      <c:pivotFmt>
        <c:idx val="25"/>
        <c:spPr>
          <a:solidFill>
            <a:schemeClr val="accent5">
              <a:lumMod val="75000"/>
            </a:schemeClr>
          </a:solidFill>
          <a:ln>
            <a:solidFill>
              <a:schemeClr val="bg1"/>
            </a:solidFill>
          </a:ln>
          <a:effectLst/>
        </c:spPr>
      </c:pivotFmt>
      <c:pivotFmt>
        <c:idx val="26"/>
        <c:spPr>
          <a:solidFill>
            <a:schemeClr val="accent5">
              <a:lumMod val="60000"/>
              <a:lumOff val="40000"/>
            </a:schemeClr>
          </a:solidFill>
          <a:ln>
            <a:solidFill>
              <a:schemeClr val="bg1"/>
            </a:solidFill>
          </a:ln>
          <a:effectLst/>
        </c:spPr>
      </c:pivotFmt>
      <c:pivotFmt>
        <c:idx val="27"/>
        <c:spPr>
          <a:solidFill>
            <a:schemeClr val="accent5">
              <a:lumMod val="60000"/>
              <a:lumOff val="40000"/>
            </a:schemeClr>
          </a:solidFill>
          <a:ln>
            <a:solidFill>
              <a:schemeClr val="bg1"/>
            </a:solidFill>
          </a:ln>
          <a:effectLst/>
        </c:spPr>
      </c:pivotFmt>
      <c:pivotFmt>
        <c:idx val="28"/>
        <c:spPr>
          <a:solidFill>
            <a:schemeClr val="accent5">
              <a:lumMod val="40000"/>
              <a:lumOff val="60000"/>
            </a:schemeClr>
          </a:solidFill>
          <a:ln>
            <a:solidFill>
              <a:schemeClr val="bg1"/>
            </a:solidFill>
          </a:ln>
          <a:effectLst/>
        </c:spPr>
      </c:pivotFmt>
      <c:pivotFmt>
        <c:idx val="29"/>
        <c:spPr>
          <a:solidFill>
            <a:schemeClr val="accent5">
              <a:lumMod val="20000"/>
              <a:lumOff val="80000"/>
            </a:schemeClr>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5">
              <a:lumMod val="20000"/>
              <a:lumOff val="80000"/>
            </a:schemeClr>
          </a:solidFill>
          <a:ln>
            <a:solidFill>
              <a:schemeClr val="bg1"/>
            </a:solidFill>
          </a:ln>
          <a:effectLst/>
        </c:spPr>
      </c:pivotFmt>
      <c:pivotFmt>
        <c:idx val="32"/>
        <c:spPr>
          <a:solidFill>
            <a:schemeClr val="accent5">
              <a:lumMod val="40000"/>
              <a:lumOff val="60000"/>
            </a:schemeClr>
          </a:solidFill>
          <a:ln>
            <a:solidFill>
              <a:schemeClr val="bg1"/>
            </a:solidFill>
          </a:ln>
          <a:effectLst/>
        </c:spPr>
      </c:pivotFmt>
      <c:pivotFmt>
        <c:idx val="33"/>
        <c:spPr>
          <a:solidFill>
            <a:schemeClr val="accent5">
              <a:lumMod val="60000"/>
              <a:lumOff val="40000"/>
            </a:schemeClr>
          </a:solidFill>
          <a:ln>
            <a:solidFill>
              <a:schemeClr val="bg1"/>
            </a:solidFill>
          </a:ln>
          <a:effectLst/>
        </c:spPr>
      </c:pivotFmt>
      <c:pivotFmt>
        <c:idx val="34"/>
        <c:spPr>
          <a:solidFill>
            <a:schemeClr val="accent5">
              <a:lumMod val="60000"/>
              <a:lumOff val="40000"/>
            </a:schemeClr>
          </a:solidFill>
          <a:ln>
            <a:solidFill>
              <a:schemeClr val="bg1"/>
            </a:solidFill>
          </a:ln>
          <a:effectLst/>
        </c:spPr>
      </c:pivotFmt>
      <c:pivotFmt>
        <c:idx val="35"/>
        <c:spPr>
          <a:solidFill>
            <a:schemeClr val="accent5">
              <a:lumMod val="75000"/>
            </a:schemeClr>
          </a:solidFill>
          <a:ln>
            <a:solidFill>
              <a:schemeClr val="bg1"/>
            </a:solidFill>
          </a:ln>
          <a:effectLst/>
        </c:spPr>
      </c:pivotFmt>
      <c:pivotFmt>
        <c:idx val="36"/>
        <c:spPr>
          <a:solidFill>
            <a:schemeClr val="accent5">
              <a:lumMod val="75000"/>
            </a:schemeClr>
          </a:solidFill>
          <a:ln>
            <a:solidFill>
              <a:schemeClr val="bg1"/>
            </a:solidFill>
          </a:ln>
          <a:effectLst/>
        </c:spPr>
      </c:pivotFmt>
      <c:pivotFmt>
        <c:idx val="37"/>
        <c:spPr>
          <a:solidFill>
            <a:schemeClr val="accent5">
              <a:lumMod val="50000"/>
            </a:schemeClr>
          </a:solidFill>
          <a:ln>
            <a:solidFill>
              <a:schemeClr val="bg1"/>
            </a:solidFill>
          </a:ln>
          <a:effectLst/>
        </c:spPr>
      </c:pivotFmt>
      <c:pivotFmt>
        <c:idx val="38"/>
        <c:spPr>
          <a:solidFill>
            <a:schemeClr val="accent5">
              <a:lumMod val="50000"/>
            </a:schemeClr>
          </a:solidFill>
          <a:ln>
            <a:solidFill>
              <a:schemeClr val="bg1"/>
            </a:solidFill>
          </a:ln>
          <a:effectLst/>
        </c:spPr>
      </c:pivotFmt>
      <c:pivotFmt>
        <c:idx val="39"/>
        <c:spPr>
          <a:solidFill>
            <a:schemeClr val="accent5">
              <a:lumMod val="20000"/>
              <a:lumOff val="80000"/>
            </a:schemeClr>
          </a:solidFill>
          <a:ln>
            <a:noFill/>
          </a:ln>
          <a:effectLst/>
        </c:spPr>
      </c:pivotFmt>
      <c:pivotFmt>
        <c:idx val="40"/>
        <c:spPr>
          <a:solidFill>
            <a:schemeClr val="accent5">
              <a:lumMod val="60000"/>
              <a:lumOff val="40000"/>
            </a:schemeClr>
          </a:solidFill>
          <a:ln>
            <a:noFill/>
          </a:ln>
          <a:effectLst/>
        </c:spPr>
      </c:pivotFmt>
      <c:pivotFmt>
        <c:idx val="41"/>
        <c:spPr>
          <a:solidFill>
            <a:schemeClr val="accent5">
              <a:lumMod val="50000"/>
            </a:schemeClr>
          </a:solidFill>
          <a:ln>
            <a:noFill/>
          </a:ln>
          <a:effectLst/>
        </c:spPr>
      </c:pivotFmt>
      <c:pivotFmt>
        <c:idx val="42"/>
        <c:spPr>
          <a:solidFill>
            <a:schemeClr val="accent5">
              <a:lumMod val="75000"/>
            </a:schemeClr>
          </a:solidFill>
          <a:ln>
            <a:noFill/>
          </a:ln>
          <a:effectLst/>
        </c:spPr>
      </c:pivotFmt>
      <c:pivotFmt>
        <c:idx val="43"/>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5">
              <a:lumMod val="20000"/>
              <a:lumOff val="80000"/>
            </a:schemeClr>
          </a:solidFill>
          <a:ln>
            <a:noFill/>
          </a:ln>
          <a:effectLst/>
        </c:spPr>
      </c:pivotFmt>
      <c:pivotFmt>
        <c:idx val="45"/>
        <c:spPr>
          <a:solidFill>
            <a:schemeClr val="accent5">
              <a:lumMod val="60000"/>
              <a:lumOff val="40000"/>
            </a:schemeClr>
          </a:solidFill>
          <a:ln>
            <a:noFill/>
          </a:ln>
          <a:effectLst/>
        </c:spPr>
      </c:pivotFmt>
      <c:pivotFmt>
        <c:idx val="46"/>
        <c:spPr>
          <a:solidFill>
            <a:schemeClr val="accent5">
              <a:lumMod val="75000"/>
            </a:schemeClr>
          </a:solidFill>
          <a:ln>
            <a:noFill/>
          </a:ln>
          <a:effectLst/>
        </c:spPr>
      </c:pivotFmt>
      <c:pivotFmt>
        <c:idx val="47"/>
        <c:spPr>
          <a:solidFill>
            <a:schemeClr val="accent5">
              <a:lumMod val="50000"/>
            </a:schemeClr>
          </a:solidFill>
          <a:ln>
            <a:noFill/>
          </a:ln>
          <a:effectLst/>
        </c:spPr>
      </c:pivotFmt>
      <c:pivotFmt>
        <c:idx val="48"/>
        <c:spPr>
          <a:solidFill>
            <a:schemeClr val="accent5">
              <a:lumMod val="75000"/>
            </a:schemeClr>
          </a:solidFill>
          <a:ln>
            <a:noFill/>
          </a:ln>
          <a:effectLst/>
        </c:spPr>
      </c:pivotFmt>
      <c:pivotFmt>
        <c:idx val="49"/>
        <c:spPr>
          <a:solidFill>
            <a:schemeClr val="accent5">
              <a:lumMod val="60000"/>
              <a:lumOff val="40000"/>
            </a:schemeClr>
          </a:solidFill>
          <a:ln>
            <a:noFill/>
          </a:ln>
          <a:effectLst/>
        </c:spPr>
      </c:pivotFmt>
      <c:pivotFmt>
        <c:idx val="50"/>
        <c:spPr>
          <a:solidFill>
            <a:schemeClr val="accent5">
              <a:lumMod val="40000"/>
              <a:lumOff val="60000"/>
            </a:schemeClr>
          </a:solidFill>
          <a:ln>
            <a:noFill/>
          </a:ln>
          <a:effectLst/>
        </c:spPr>
      </c:pivotFmt>
      <c:pivotFmt>
        <c:idx val="51"/>
        <c:spPr>
          <a:solidFill>
            <a:schemeClr val="accent5">
              <a:lumMod val="20000"/>
              <a:lumOff val="80000"/>
            </a:schemeClr>
          </a:solidFill>
          <a:ln>
            <a:noFill/>
          </a:ln>
          <a:effectLst/>
        </c:spPr>
      </c:pivotFmt>
    </c:pivotFmts>
    <c:plotArea>
      <c:layout>
        <c:manualLayout>
          <c:layoutTarget val="inner"/>
          <c:xMode val="edge"/>
          <c:yMode val="edge"/>
          <c:x val="0.11434760536374612"/>
          <c:y val="0.14147667883554615"/>
          <c:w val="0.82808273772783081"/>
          <c:h val="0.76031729269631587"/>
        </c:manualLayout>
      </c:layout>
      <c:barChart>
        <c:barDir val="col"/>
        <c:grouping val="clustered"/>
        <c:varyColors val="0"/>
        <c:ser>
          <c:idx val="0"/>
          <c:order val="0"/>
          <c:tx>
            <c:strRef>
              <c:f>'Sales by Product category'!$B$3</c:f>
              <c:strCache>
                <c:ptCount val="1"/>
                <c:pt idx="0">
                  <c:v>Total</c:v>
                </c:pt>
              </c:strCache>
            </c:strRef>
          </c:tx>
          <c:spPr>
            <a:solidFill>
              <a:schemeClr val="accent5">
                <a:lumMod val="50000"/>
              </a:schemeClr>
            </a:solidFill>
            <a:ln>
              <a:noFill/>
            </a:ln>
            <a:effectLst/>
          </c:spPr>
          <c:invertIfNegative val="0"/>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0-344F-429D-89FB-24384C814970}"/>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1-344F-429D-89FB-24384C814970}"/>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2-344F-429D-89FB-24384C814970}"/>
              </c:ext>
            </c:extLst>
          </c:dPt>
          <c:dPt>
            <c:idx val="4"/>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3-344F-429D-89FB-24384C8149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Product category'!$A$4:$A$9</c:f>
              <c:strCache>
                <c:ptCount val="5"/>
                <c:pt idx="0">
                  <c:v>Beverages</c:v>
                </c:pt>
                <c:pt idx="1">
                  <c:v>Sauces</c:v>
                </c:pt>
                <c:pt idx="2">
                  <c:v>Jams, Preserves</c:v>
                </c:pt>
                <c:pt idx="3">
                  <c:v>Dairy Products</c:v>
                </c:pt>
                <c:pt idx="4">
                  <c:v>Dried Fruit &amp; Nuts</c:v>
                </c:pt>
              </c:strCache>
            </c:strRef>
          </c:cat>
          <c:val>
            <c:numRef>
              <c:f>'Sales by Product category'!$B$4:$B$9</c:f>
              <c:numCache>
                <c:formatCode>"$"#,##0.00</c:formatCode>
                <c:ptCount val="5"/>
                <c:pt idx="0">
                  <c:v>110577.10999999999</c:v>
                </c:pt>
                <c:pt idx="1">
                  <c:v>69000</c:v>
                </c:pt>
                <c:pt idx="2">
                  <c:v>51541</c:v>
                </c:pt>
                <c:pt idx="3">
                  <c:v>33129.600000000006</c:v>
                </c:pt>
                <c:pt idx="4">
                  <c:v>27999.5</c:v>
                </c:pt>
              </c:numCache>
            </c:numRef>
          </c:val>
          <c:extLst>
            <c:ext xmlns:c16="http://schemas.microsoft.com/office/drawing/2014/chart" uri="{C3380CC4-5D6E-409C-BE32-E72D297353CC}">
              <c16:uniqueId val="{00000014-E1A0-4D65-875F-1DC870CCE511}"/>
            </c:ext>
          </c:extLst>
        </c:ser>
        <c:dLbls>
          <c:showLegendKey val="0"/>
          <c:showVal val="0"/>
          <c:showCatName val="0"/>
          <c:showSerName val="0"/>
          <c:showPercent val="0"/>
          <c:showBubbleSize val="0"/>
        </c:dLbls>
        <c:gapWidth val="41"/>
        <c:axId val="551141888"/>
        <c:axId val="551135408"/>
      </c:barChart>
      <c:catAx>
        <c:axId val="5511418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51135408"/>
        <c:crosses val="autoZero"/>
        <c:auto val="1"/>
        <c:lblAlgn val="ctr"/>
        <c:lblOffset val="100"/>
        <c:noMultiLvlLbl val="0"/>
      </c:catAx>
      <c:valAx>
        <c:axId val="551135408"/>
        <c:scaling>
          <c:orientation val="minMax"/>
        </c:scaling>
        <c:delete val="0"/>
        <c:axPos val="l"/>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51141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Process.xlsx]Top 5 Cities!PivotTable1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latin typeface="Arial Narrow" panose="020B0606020202030204" pitchFamily="34" charset="0"/>
              </a:rPr>
              <a:t>PERFORMANCE OF CITIES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1">
              <a:lumMod val="50000"/>
            </a:schemeClr>
          </a:solidFill>
          <a:ln>
            <a:noFill/>
          </a:ln>
          <a:effectLst/>
        </c:spPr>
      </c:pivotFmt>
      <c:pivotFmt>
        <c:idx val="3"/>
        <c:spPr>
          <a:solidFill>
            <a:schemeClr val="accent5">
              <a:lumMod val="75000"/>
            </a:schemeClr>
          </a:solidFill>
          <a:ln>
            <a:noFill/>
          </a:ln>
          <a:effectLst/>
        </c:spPr>
      </c:pivotFmt>
      <c:pivotFmt>
        <c:idx val="4"/>
        <c:spPr>
          <a:solidFill>
            <a:schemeClr val="accent1">
              <a:lumMod val="75000"/>
            </a:schemeClr>
          </a:solidFill>
          <a:ln>
            <a:noFill/>
          </a:ln>
          <a:effectLst/>
        </c:spPr>
      </c:pivotFmt>
      <c:pivotFmt>
        <c:idx val="5"/>
        <c:spPr>
          <a:solidFill>
            <a:schemeClr val="accent1">
              <a:lumMod val="75000"/>
            </a:schemeClr>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60000"/>
              <a:lumOff val="40000"/>
            </a:schemeClr>
          </a:solidFill>
          <a:ln>
            <a:noFill/>
          </a:ln>
          <a:effectLst/>
        </c:spPr>
      </c:pivotFmt>
      <c:pivotFmt>
        <c:idx val="8"/>
        <c:spPr>
          <a:solidFill>
            <a:schemeClr val="accent1">
              <a:lumMod val="60000"/>
              <a:lumOff val="40000"/>
            </a:schemeClr>
          </a:solidFill>
          <a:ln>
            <a:noFill/>
          </a:ln>
          <a:effectLst/>
        </c:spPr>
      </c:pivotFmt>
      <c:pivotFmt>
        <c:idx val="9"/>
        <c:spPr>
          <a:solidFill>
            <a:schemeClr val="accent5">
              <a:lumMod val="20000"/>
              <a:lumOff val="80000"/>
            </a:schemeClr>
          </a:solidFill>
          <a:ln>
            <a:noFill/>
          </a:ln>
          <a:effectLst/>
        </c:spPr>
      </c:pivotFmt>
      <c:pivotFmt>
        <c:idx val="10"/>
        <c:spPr>
          <a:solidFill>
            <a:schemeClr val="accent1">
              <a:lumMod val="20000"/>
              <a:lumOff val="80000"/>
            </a:schemeClr>
          </a:solidFill>
          <a:ln>
            <a:noFill/>
          </a:ln>
          <a:effectLst/>
        </c:spPr>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20000"/>
              <a:lumOff val="80000"/>
            </a:schemeClr>
          </a:solidFill>
          <a:ln>
            <a:noFill/>
          </a:ln>
          <a:effectLst/>
        </c:spPr>
      </c:pivotFmt>
      <c:pivotFmt>
        <c:idx val="13"/>
        <c:spPr>
          <a:solidFill>
            <a:schemeClr val="accent5">
              <a:lumMod val="20000"/>
              <a:lumOff val="80000"/>
            </a:schemeClr>
          </a:solidFill>
          <a:ln>
            <a:noFill/>
          </a:ln>
          <a:effectLst/>
        </c:spPr>
      </c:pivotFmt>
      <c:pivotFmt>
        <c:idx val="14"/>
        <c:spPr>
          <a:solidFill>
            <a:schemeClr val="accent1">
              <a:lumMod val="60000"/>
              <a:lumOff val="40000"/>
            </a:schemeClr>
          </a:solidFill>
          <a:ln>
            <a:noFill/>
          </a:ln>
          <a:effectLst/>
        </c:spPr>
      </c:pivotFmt>
      <c:pivotFmt>
        <c:idx val="15"/>
        <c:spPr>
          <a:solidFill>
            <a:schemeClr val="accent5">
              <a:lumMod val="60000"/>
              <a:lumOff val="40000"/>
            </a:schemeClr>
          </a:solidFill>
          <a:ln>
            <a:noFill/>
          </a:ln>
          <a:effectLst/>
        </c:spPr>
      </c:pivotFmt>
      <c:pivotFmt>
        <c:idx val="16"/>
        <c:spPr>
          <a:solidFill>
            <a:schemeClr val="accent5">
              <a:lumMod val="60000"/>
              <a:lumOff val="40000"/>
            </a:schemeClr>
          </a:solidFill>
          <a:ln>
            <a:noFill/>
          </a:ln>
          <a:effectLst/>
        </c:spPr>
      </c:pivotFmt>
      <c:pivotFmt>
        <c:idx val="17"/>
        <c:spPr>
          <a:solidFill>
            <a:schemeClr val="accent1">
              <a:lumMod val="75000"/>
            </a:schemeClr>
          </a:solidFill>
          <a:ln>
            <a:noFill/>
          </a:ln>
          <a:effectLst/>
        </c:spPr>
      </c:pivotFmt>
      <c:pivotFmt>
        <c:idx val="18"/>
        <c:spPr>
          <a:solidFill>
            <a:schemeClr val="accent1">
              <a:lumMod val="75000"/>
            </a:schemeClr>
          </a:solidFill>
          <a:ln>
            <a:noFill/>
          </a:ln>
          <a:effectLst/>
        </c:spPr>
      </c:pivotFmt>
      <c:pivotFmt>
        <c:idx val="19"/>
        <c:spPr>
          <a:solidFill>
            <a:schemeClr val="accent5">
              <a:lumMod val="75000"/>
            </a:schemeClr>
          </a:solidFill>
          <a:ln>
            <a:noFill/>
          </a:ln>
          <a:effectLst/>
        </c:spPr>
      </c:pivotFmt>
      <c:pivotFmt>
        <c:idx val="20"/>
        <c:spPr>
          <a:solidFill>
            <a:schemeClr val="accent1">
              <a:lumMod val="50000"/>
            </a:schemeClr>
          </a:solidFill>
          <a:ln>
            <a:noFill/>
          </a:ln>
          <a:effectLst/>
        </c:spPr>
      </c:pivotFmt>
      <c:pivotFmt>
        <c:idx val="21"/>
        <c:spPr>
          <a:solidFill>
            <a:schemeClr val="accent5">
              <a:lumMod val="50000"/>
            </a:schemeClr>
          </a:solidFill>
          <a:ln>
            <a:noFill/>
          </a:ln>
          <a:effectLst/>
        </c:spPr>
      </c:pivotFmt>
      <c:pivotFmt>
        <c:idx val="22"/>
        <c:spPr>
          <a:solidFill>
            <a:schemeClr val="accent5">
              <a:lumMod val="50000"/>
            </a:schemeClr>
          </a:solidFill>
          <a:ln>
            <a:solidFill>
              <a:schemeClr val="bg1"/>
            </a:solidFill>
          </a:ln>
          <a:effectLst/>
        </c:spPr>
      </c:pivotFmt>
      <c:pivotFmt>
        <c:idx val="23"/>
        <c:spPr>
          <a:solidFill>
            <a:schemeClr val="accent5">
              <a:lumMod val="50000"/>
            </a:schemeClr>
          </a:solidFill>
          <a:ln>
            <a:solidFill>
              <a:schemeClr val="bg1"/>
            </a:solidFill>
          </a:ln>
          <a:effectLst/>
        </c:spPr>
      </c:pivotFmt>
      <c:pivotFmt>
        <c:idx val="24"/>
        <c:spPr>
          <a:solidFill>
            <a:schemeClr val="accent5">
              <a:lumMod val="75000"/>
            </a:schemeClr>
          </a:solidFill>
          <a:ln>
            <a:solidFill>
              <a:schemeClr val="bg1"/>
            </a:solidFill>
          </a:ln>
          <a:effectLst/>
        </c:spPr>
      </c:pivotFmt>
      <c:pivotFmt>
        <c:idx val="25"/>
        <c:spPr>
          <a:solidFill>
            <a:schemeClr val="accent5">
              <a:lumMod val="75000"/>
            </a:schemeClr>
          </a:solidFill>
          <a:ln>
            <a:solidFill>
              <a:schemeClr val="bg1"/>
            </a:solidFill>
          </a:ln>
          <a:effectLst/>
        </c:spPr>
      </c:pivotFmt>
      <c:pivotFmt>
        <c:idx val="26"/>
        <c:spPr>
          <a:solidFill>
            <a:schemeClr val="accent5">
              <a:lumMod val="60000"/>
              <a:lumOff val="40000"/>
            </a:schemeClr>
          </a:solidFill>
          <a:ln>
            <a:solidFill>
              <a:schemeClr val="bg1"/>
            </a:solidFill>
          </a:ln>
          <a:effectLst/>
        </c:spPr>
      </c:pivotFmt>
      <c:pivotFmt>
        <c:idx val="27"/>
        <c:spPr>
          <a:solidFill>
            <a:schemeClr val="accent5">
              <a:lumMod val="60000"/>
              <a:lumOff val="40000"/>
            </a:schemeClr>
          </a:solidFill>
          <a:ln>
            <a:solidFill>
              <a:schemeClr val="bg1"/>
            </a:solidFill>
          </a:ln>
          <a:effectLst/>
        </c:spPr>
      </c:pivotFmt>
      <c:pivotFmt>
        <c:idx val="28"/>
        <c:spPr>
          <a:solidFill>
            <a:schemeClr val="accent5">
              <a:lumMod val="40000"/>
              <a:lumOff val="60000"/>
            </a:schemeClr>
          </a:solidFill>
          <a:ln>
            <a:solidFill>
              <a:schemeClr val="bg1"/>
            </a:solidFill>
          </a:ln>
          <a:effectLst/>
        </c:spPr>
      </c:pivotFmt>
      <c:pivotFmt>
        <c:idx val="29"/>
        <c:spPr>
          <a:solidFill>
            <a:schemeClr val="accent5">
              <a:lumMod val="20000"/>
              <a:lumOff val="80000"/>
            </a:schemeClr>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5">
              <a:lumMod val="20000"/>
              <a:lumOff val="80000"/>
            </a:schemeClr>
          </a:solidFill>
          <a:ln>
            <a:solidFill>
              <a:schemeClr val="bg1"/>
            </a:solidFill>
          </a:ln>
          <a:effectLst/>
        </c:spPr>
      </c:pivotFmt>
      <c:pivotFmt>
        <c:idx val="32"/>
        <c:spPr>
          <a:solidFill>
            <a:schemeClr val="accent5">
              <a:lumMod val="40000"/>
              <a:lumOff val="60000"/>
            </a:schemeClr>
          </a:solidFill>
          <a:ln>
            <a:solidFill>
              <a:schemeClr val="bg1"/>
            </a:solidFill>
          </a:ln>
          <a:effectLst/>
        </c:spPr>
      </c:pivotFmt>
      <c:pivotFmt>
        <c:idx val="33"/>
        <c:spPr>
          <a:solidFill>
            <a:schemeClr val="accent5">
              <a:lumMod val="60000"/>
              <a:lumOff val="40000"/>
            </a:schemeClr>
          </a:solidFill>
          <a:ln>
            <a:solidFill>
              <a:schemeClr val="bg1"/>
            </a:solidFill>
          </a:ln>
          <a:effectLst/>
        </c:spPr>
      </c:pivotFmt>
      <c:pivotFmt>
        <c:idx val="34"/>
        <c:spPr>
          <a:solidFill>
            <a:schemeClr val="accent5">
              <a:lumMod val="60000"/>
              <a:lumOff val="40000"/>
            </a:schemeClr>
          </a:solidFill>
          <a:ln>
            <a:solidFill>
              <a:schemeClr val="bg1"/>
            </a:solidFill>
          </a:ln>
          <a:effectLst/>
        </c:spPr>
      </c:pivotFmt>
      <c:pivotFmt>
        <c:idx val="35"/>
        <c:spPr>
          <a:solidFill>
            <a:schemeClr val="accent5">
              <a:lumMod val="75000"/>
            </a:schemeClr>
          </a:solidFill>
          <a:ln>
            <a:solidFill>
              <a:schemeClr val="bg1"/>
            </a:solidFill>
          </a:ln>
          <a:effectLst/>
        </c:spPr>
      </c:pivotFmt>
      <c:pivotFmt>
        <c:idx val="36"/>
        <c:spPr>
          <a:solidFill>
            <a:schemeClr val="accent5">
              <a:lumMod val="75000"/>
            </a:schemeClr>
          </a:solidFill>
          <a:ln>
            <a:solidFill>
              <a:schemeClr val="bg1"/>
            </a:solidFill>
          </a:ln>
          <a:effectLst/>
        </c:spPr>
      </c:pivotFmt>
      <c:pivotFmt>
        <c:idx val="37"/>
        <c:spPr>
          <a:solidFill>
            <a:schemeClr val="accent5">
              <a:lumMod val="50000"/>
            </a:schemeClr>
          </a:solidFill>
          <a:ln>
            <a:solidFill>
              <a:schemeClr val="bg1"/>
            </a:solidFill>
          </a:ln>
          <a:effectLst/>
        </c:spPr>
      </c:pivotFmt>
      <c:pivotFmt>
        <c:idx val="38"/>
        <c:spPr>
          <a:solidFill>
            <a:schemeClr val="accent5">
              <a:lumMod val="50000"/>
            </a:schemeClr>
          </a:solidFill>
          <a:ln>
            <a:solidFill>
              <a:schemeClr val="bg1"/>
            </a:solidFill>
          </a:ln>
          <a:effectLst/>
        </c:spPr>
      </c:pivotFmt>
      <c:pivotFmt>
        <c:idx val="39"/>
        <c:spPr>
          <a:solidFill>
            <a:schemeClr val="accent5">
              <a:lumMod val="20000"/>
              <a:lumOff val="80000"/>
            </a:schemeClr>
          </a:solidFill>
          <a:ln>
            <a:noFill/>
          </a:ln>
          <a:effectLst/>
        </c:spPr>
      </c:pivotFmt>
      <c:pivotFmt>
        <c:idx val="40"/>
        <c:spPr>
          <a:solidFill>
            <a:schemeClr val="accent5">
              <a:lumMod val="60000"/>
              <a:lumOff val="40000"/>
            </a:schemeClr>
          </a:solidFill>
          <a:ln>
            <a:noFill/>
          </a:ln>
          <a:effectLst/>
        </c:spPr>
      </c:pivotFmt>
      <c:pivotFmt>
        <c:idx val="41"/>
        <c:spPr>
          <a:solidFill>
            <a:schemeClr val="accent5">
              <a:lumMod val="50000"/>
            </a:schemeClr>
          </a:solidFill>
          <a:ln>
            <a:noFill/>
          </a:ln>
          <a:effectLst/>
        </c:spPr>
      </c:pivotFmt>
      <c:pivotFmt>
        <c:idx val="42"/>
        <c:spPr>
          <a:solidFill>
            <a:schemeClr val="accent5">
              <a:lumMod val="75000"/>
            </a:schemeClr>
          </a:solidFill>
          <a:ln>
            <a:noFill/>
          </a:ln>
          <a:effectLst/>
        </c:spPr>
      </c:pivotFmt>
      <c:pivotFmt>
        <c:idx val="43"/>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5">
              <a:lumMod val="20000"/>
              <a:lumOff val="80000"/>
            </a:schemeClr>
          </a:solidFill>
          <a:ln>
            <a:noFill/>
          </a:ln>
          <a:effectLst/>
        </c:spPr>
      </c:pivotFmt>
      <c:pivotFmt>
        <c:idx val="45"/>
        <c:spPr>
          <a:solidFill>
            <a:schemeClr val="accent5">
              <a:lumMod val="60000"/>
              <a:lumOff val="40000"/>
            </a:schemeClr>
          </a:solidFill>
          <a:ln>
            <a:noFill/>
          </a:ln>
          <a:effectLst/>
        </c:spPr>
      </c:pivotFmt>
      <c:pivotFmt>
        <c:idx val="46"/>
        <c:spPr>
          <a:solidFill>
            <a:schemeClr val="accent5">
              <a:lumMod val="75000"/>
            </a:schemeClr>
          </a:solidFill>
          <a:ln>
            <a:noFill/>
          </a:ln>
          <a:effectLst/>
        </c:spPr>
      </c:pivotFmt>
      <c:pivotFmt>
        <c:idx val="47"/>
        <c:spPr>
          <a:solidFill>
            <a:schemeClr val="accent5">
              <a:lumMod val="50000"/>
            </a:schemeClr>
          </a:solidFill>
          <a:ln>
            <a:noFill/>
          </a:ln>
          <a:effectLst/>
        </c:spPr>
      </c:pivotFmt>
      <c:pivotFmt>
        <c:idx val="48"/>
        <c:spPr>
          <a:solidFill>
            <a:schemeClr val="accent5">
              <a:lumMod val="75000"/>
            </a:schemeClr>
          </a:solidFill>
          <a:ln>
            <a:noFill/>
          </a:ln>
          <a:effectLst/>
        </c:spPr>
      </c:pivotFmt>
      <c:pivotFmt>
        <c:idx val="49"/>
        <c:spPr>
          <a:solidFill>
            <a:schemeClr val="accent5">
              <a:lumMod val="60000"/>
              <a:lumOff val="40000"/>
            </a:schemeClr>
          </a:solidFill>
          <a:ln>
            <a:noFill/>
          </a:ln>
          <a:effectLst/>
        </c:spPr>
      </c:pivotFmt>
      <c:pivotFmt>
        <c:idx val="50"/>
        <c:spPr>
          <a:solidFill>
            <a:schemeClr val="accent5">
              <a:lumMod val="40000"/>
              <a:lumOff val="60000"/>
            </a:schemeClr>
          </a:solidFill>
          <a:ln>
            <a:noFill/>
          </a:ln>
          <a:effectLst/>
        </c:spPr>
      </c:pivotFmt>
      <c:pivotFmt>
        <c:idx val="51"/>
        <c:spPr>
          <a:solidFill>
            <a:schemeClr val="accent5">
              <a:lumMod val="20000"/>
              <a:lumOff val="80000"/>
            </a:schemeClr>
          </a:solidFill>
          <a:ln>
            <a:noFill/>
          </a:ln>
          <a:effectLst/>
        </c:spPr>
      </c:pivotFmt>
      <c:pivotFmt>
        <c:idx val="5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lumMod val="75000"/>
            </a:schemeClr>
          </a:solidFill>
          <a:ln>
            <a:noFill/>
          </a:ln>
          <a:effectLst/>
        </c:spPr>
      </c:pivotFmt>
      <c:pivotFmt>
        <c:idx val="54"/>
        <c:spPr>
          <a:solidFill>
            <a:schemeClr val="accent5">
              <a:lumMod val="60000"/>
              <a:lumOff val="40000"/>
            </a:schemeClr>
          </a:solidFill>
          <a:ln>
            <a:noFill/>
          </a:ln>
          <a:effectLst/>
        </c:spPr>
      </c:pivotFmt>
      <c:pivotFmt>
        <c:idx val="55"/>
        <c:spPr>
          <a:solidFill>
            <a:schemeClr val="accent5">
              <a:lumMod val="40000"/>
              <a:lumOff val="60000"/>
            </a:schemeClr>
          </a:solidFill>
          <a:ln>
            <a:noFill/>
          </a:ln>
          <a:effectLst/>
        </c:spPr>
      </c:pivotFmt>
      <c:pivotFmt>
        <c:idx val="56"/>
        <c:spPr>
          <a:solidFill>
            <a:schemeClr val="accent5">
              <a:lumMod val="20000"/>
              <a:lumOff val="80000"/>
            </a:schemeClr>
          </a:solidFill>
          <a:ln>
            <a:noFill/>
          </a:ln>
          <a:effectLst/>
        </c:spPr>
      </c:pivotFmt>
      <c:pivotFmt>
        <c:idx val="57"/>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5">
              <a:lumMod val="75000"/>
            </a:schemeClr>
          </a:solidFill>
          <a:ln>
            <a:noFill/>
          </a:ln>
          <a:effectLst/>
        </c:spPr>
      </c:pivotFmt>
      <c:pivotFmt>
        <c:idx val="59"/>
        <c:spPr>
          <a:solidFill>
            <a:schemeClr val="accent5">
              <a:lumMod val="60000"/>
              <a:lumOff val="40000"/>
            </a:schemeClr>
          </a:solidFill>
          <a:ln>
            <a:noFill/>
          </a:ln>
          <a:effectLst/>
        </c:spPr>
      </c:pivotFmt>
      <c:pivotFmt>
        <c:idx val="60"/>
        <c:spPr>
          <a:solidFill>
            <a:schemeClr val="accent5">
              <a:lumMod val="40000"/>
              <a:lumOff val="60000"/>
            </a:schemeClr>
          </a:solidFill>
          <a:ln>
            <a:noFill/>
          </a:ln>
          <a:effectLst/>
        </c:spPr>
      </c:pivotFmt>
      <c:pivotFmt>
        <c:idx val="61"/>
        <c:spPr>
          <a:solidFill>
            <a:schemeClr val="accent5">
              <a:lumMod val="20000"/>
              <a:lumOff val="80000"/>
            </a:schemeClr>
          </a:solidFill>
          <a:ln>
            <a:noFill/>
          </a:ln>
          <a:effectLst/>
        </c:spPr>
      </c:pivotFmt>
      <c:pivotFmt>
        <c:idx val="62"/>
        <c:spPr>
          <a:solidFill>
            <a:schemeClr val="accent5">
              <a:lumMod val="50000"/>
            </a:schemeClr>
          </a:solidFill>
          <a:ln>
            <a:noFill/>
          </a:ln>
          <a:effectLst/>
        </c:spPr>
        <c:dLbl>
          <c:idx val="0"/>
          <c:layout>
            <c:manualLayout>
              <c:x val="-2.8442432867806674E-2"/>
              <c:y val="-0.39656649680196704"/>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5">
              <a:lumMod val="50000"/>
            </a:schemeClr>
          </a:solidFill>
          <a:ln>
            <a:noFill/>
          </a:ln>
          <a:effectLst/>
        </c:spPr>
        <c:dLbl>
          <c:idx val="0"/>
          <c:layout>
            <c:manualLayout>
              <c:x val="5.4176062605345056E-3"/>
              <c:y val="-0.42060082994148018"/>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5">
              <a:lumMod val="50000"/>
            </a:schemeClr>
          </a:solidFill>
          <a:ln>
            <a:noFill/>
          </a:ln>
          <a:effectLst/>
        </c:spPr>
        <c:dLbl>
          <c:idx val="0"/>
          <c:layout>
            <c:manualLayout>
              <c:x val="8.1264093908019076E-3"/>
              <c:y val="-0.41759653829904109"/>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5">
              <a:lumMod val="50000"/>
            </a:schemeClr>
          </a:solidFill>
          <a:ln>
            <a:noFill/>
          </a:ln>
          <a:effectLst/>
        </c:spPr>
        <c:dLbl>
          <c:idx val="0"/>
          <c:layout>
            <c:manualLayout>
              <c:x val="5.4176062605346045E-3"/>
              <c:y val="-0.4386265797961150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5">
              <a:lumMod val="50000"/>
            </a:schemeClr>
          </a:solidFill>
          <a:ln>
            <a:noFill/>
          </a:ln>
          <a:effectLst/>
        </c:spPr>
        <c:dLbl>
          <c:idx val="0"/>
          <c:layout>
            <c:manualLayout>
              <c:x val="2.7088031302673024E-2"/>
              <c:y val="-0.30643774752879271"/>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629404945524568E-2"/>
          <c:y val="0.15406158605174353"/>
          <c:w val="0.9350114404273937"/>
          <c:h val="0.69677137232845898"/>
        </c:manualLayout>
      </c:layout>
      <c:areaChart>
        <c:grouping val="standard"/>
        <c:varyColors val="0"/>
        <c:ser>
          <c:idx val="0"/>
          <c:order val="0"/>
          <c:tx>
            <c:strRef>
              <c:f>'Top 5 Cities'!$B$3</c:f>
              <c:strCache>
                <c:ptCount val="1"/>
                <c:pt idx="0">
                  <c:v>Total</c:v>
                </c:pt>
              </c:strCache>
            </c:strRef>
          </c:tx>
          <c:spPr>
            <a:solidFill>
              <a:schemeClr val="accent5">
                <a:lumMod val="50000"/>
              </a:schemeClr>
            </a:solidFill>
            <a:ln>
              <a:noFill/>
            </a:ln>
            <a:effectLst/>
          </c:spPr>
          <c:dPt>
            <c:idx val="0"/>
            <c:bubble3D val="0"/>
            <c:extLst>
              <c:ext xmlns:c16="http://schemas.microsoft.com/office/drawing/2014/chart" uri="{C3380CC4-5D6E-409C-BE32-E72D297353CC}">
                <c16:uniqueId val="{00000009-AE46-4A8B-87C6-79C231754E3F}"/>
              </c:ext>
            </c:extLst>
          </c:dPt>
          <c:dPt>
            <c:idx val="1"/>
            <c:bubble3D val="0"/>
            <c:extLst>
              <c:ext xmlns:c16="http://schemas.microsoft.com/office/drawing/2014/chart" uri="{C3380CC4-5D6E-409C-BE32-E72D297353CC}">
                <c16:uniqueId val="{00000001-AE46-4A8B-87C6-79C231754E3F}"/>
              </c:ext>
            </c:extLst>
          </c:dPt>
          <c:dPt>
            <c:idx val="2"/>
            <c:bubble3D val="0"/>
            <c:extLst>
              <c:ext xmlns:c16="http://schemas.microsoft.com/office/drawing/2014/chart" uri="{C3380CC4-5D6E-409C-BE32-E72D297353CC}">
                <c16:uniqueId val="{00000003-AE46-4A8B-87C6-79C231754E3F}"/>
              </c:ext>
            </c:extLst>
          </c:dPt>
          <c:dPt>
            <c:idx val="3"/>
            <c:bubble3D val="0"/>
            <c:extLst>
              <c:ext xmlns:c16="http://schemas.microsoft.com/office/drawing/2014/chart" uri="{C3380CC4-5D6E-409C-BE32-E72D297353CC}">
                <c16:uniqueId val="{00000005-AE46-4A8B-87C6-79C231754E3F}"/>
              </c:ext>
            </c:extLst>
          </c:dPt>
          <c:dPt>
            <c:idx val="4"/>
            <c:bubble3D val="0"/>
            <c:extLst>
              <c:ext xmlns:c16="http://schemas.microsoft.com/office/drawing/2014/chart" uri="{C3380CC4-5D6E-409C-BE32-E72D297353CC}">
                <c16:uniqueId val="{00000007-AE46-4A8B-87C6-79C231754E3F}"/>
              </c:ext>
            </c:extLst>
          </c:dPt>
          <c:dLbls>
            <c:dLbl>
              <c:idx val="0"/>
              <c:layout>
                <c:manualLayout>
                  <c:x val="2.7088031302673024E-2"/>
                  <c:y val="-0.306437747528792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E46-4A8B-87C6-79C231754E3F}"/>
                </c:ext>
              </c:extLst>
            </c:dLbl>
            <c:dLbl>
              <c:idx val="1"/>
              <c:layout>
                <c:manualLayout>
                  <c:x val="5.4176062605346045E-3"/>
                  <c:y val="-0.438626579796115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E46-4A8B-87C6-79C231754E3F}"/>
                </c:ext>
              </c:extLst>
            </c:dLbl>
            <c:dLbl>
              <c:idx val="2"/>
              <c:layout>
                <c:manualLayout>
                  <c:x val="8.1264093908019076E-3"/>
                  <c:y val="-0.4175965382990410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E46-4A8B-87C6-79C231754E3F}"/>
                </c:ext>
              </c:extLst>
            </c:dLbl>
            <c:dLbl>
              <c:idx val="3"/>
              <c:layout>
                <c:manualLayout>
                  <c:x val="5.4176062605345056E-3"/>
                  <c:y val="-0.420600829941480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E46-4A8B-87C6-79C231754E3F}"/>
                </c:ext>
              </c:extLst>
            </c:dLbl>
            <c:dLbl>
              <c:idx val="4"/>
              <c:layout>
                <c:manualLayout>
                  <c:x val="-2.8442432867806674E-2"/>
                  <c:y val="-0.396566496801967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E46-4A8B-87C6-79C231754E3F}"/>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Cities'!$A$4:$A$9</c:f>
              <c:strCache>
                <c:ptCount val="5"/>
                <c:pt idx="0">
                  <c:v>Chicago</c:v>
                </c:pt>
                <c:pt idx="1">
                  <c:v>Memphis</c:v>
                </c:pt>
                <c:pt idx="2">
                  <c:v>Miami</c:v>
                </c:pt>
                <c:pt idx="3">
                  <c:v>Portland</c:v>
                </c:pt>
                <c:pt idx="4">
                  <c:v>New York</c:v>
                </c:pt>
              </c:strCache>
            </c:strRef>
          </c:cat>
          <c:val>
            <c:numRef>
              <c:f>'Top 5 Cities'!$B$4:$B$9</c:f>
              <c:numCache>
                <c:formatCode>"$"#,##0.00</c:formatCode>
                <c:ptCount val="5"/>
                <c:pt idx="0">
                  <c:v>41095.01</c:v>
                </c:pt>
                <c:pt idx="1">
                  <c:v>43713</c:v>
                </c:pt>
                <c:pt idx="2">
                  <c:v>50145.330000000009</c:v>
                </c:pt>
                <c:pt idx="3">
                  <c:v>50208.35</c:v>
                </c:pt>
                <c:pt idx="4">
                  <c:v>67180.5</c:v>
                </c:pt>
              </c:numCache>
            </c:numRef>
          </c:val>
          <c:extLst>
            <c:ext xmlns:c16="http://schemas.microsoft.com/office/drawing/2014/chart" uri="{C3380CC4-5D6E-409C-BE32-E72D297353CC}">
              <c16:uniqueId val="{00000008-AE46-4A8B-87C6-79C231754E3F}"/>
            </c:ext>
          </c:extLst>
        </c:ser>
        <c:dLbls>
          <c:showLegendKey val="0"/>
          <c:showVal val="1"/>
          <c:showCatName val="0"/>
          <c:showSerName val="0"/>
          <c:showPercent val="0"/>
          <c:showBubbleSize val="0"/>
        </c:dLbls>
        <c:axId val="551141888"/>
        <c:axId val="551135408"/>
      </c:areaChart>
      <c:catAx>
        <c:axId val="5511418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NG"/>
          </a:p>
        </c:txPr>
        <c:crossAx val="551135408"/>
        <c:crosses val="autoZero"/>
        <c:auto val="1"/>
        <c:lblAlgn val="ctr"/>
        <c:lblOffset val="100"/>
        <c:noMultiLvlLbl val="0"/>
      </c:catAx>
      <c:valAx>
        <c:axId val="551135408"/>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crossAx val="551141888"/>
        <c:crosses val="autoZero"/>
        <c:crossBetween val="midCat"/>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Process.xlsx]Transaction by Amount!PivotTable1</c:name>
    <c:fmtId val="18"/>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Arial Narrow" panose="020B0606020202030204" pitchFamily="34" charset="0"/>
                <a:ea typeface="+mn-ea"/>
                <a:cs typeface="+mn-cs"/>
              </a:defRPr>
            </a:pPr>
            <a:r>
              <a:rPr lang="en-US" sz="1400" b="1" i="0" u="none" strike="noStrike" kern="1200" spc="0" baseline="0">
                <a:solidFill>
                  <a:sysClr val="windowText" lastClr="000000">
                    <a:lumMod val="65000"/>
                    <a:lumOff val="35000"/>
                  </a:sysClr>
                </a:solidFill>
                <a:latin typeface="Arial Narrow" panose="020B0606020202030204" pitchFamily="34" charset="0"/>
                <a:ea typeface="+mn-ea"/>
                <a:cs typeface="+mn-cs"/>
              </a:rPr>
              <a:t>TRANSACTION BY AMOUNT</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Arial Narrow" panose="020B0606020202030204" pitchFamily="34" charset="0"/>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290988304822853E-2"/>
          <c:y val="0.10659178674508921"/>
          <c:w val="0.95341802339035431"/>
          <c:h val="0.78617730235740713"/>
        </c:manualLayout>
      </c:layout>
      <c:barChart>
        <c:barDir val="col"/>
        <c:grouping val="clustered"/>
        <c:varyColors val="0"/>
        <c:ser>
          <c:idx val="0"/>
          <c:order val="0"/>
          <c:tx>
            <c:strRef>
              <c:f>'Transaction by Amount'!$B$3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'Transaction by Amount'!$A$4:$A$11</c:f>
              <c:strCache>
                <c:ptCount val="7"/>
                <c:pt idx="0">
                  <c:v>0-1000</c:v>
                </c:pt>
                <c:pt idx="1">
                  <c:v>1000-2000</c:v>
                </c:pt>
                <c:pt idx="2">
                  <c:v>2000-3000</c:v>
                </c:pt>
                <c:pt idx="3">
                  <c:v>3000-4000</c:v>
                </c:pt>
                <c:pt idx="4">
                  <c:v>4000-5000</c:v>
                </c:pt>
                <c:pt idx="5">
                  <c:v>6000-7000</c:v>
                </c:pt>
                <c:pt idx="6">
                  <c:v>7000-8000</c:v>
                </c:pt>
              </c:strCache>
            </c:strRef>
          </c:cat>
          <c:val>
            <c:numRef>
              <c:f>'Transaction by Amount'!$B$4:$B$11</c:f>
              <c:numCache>
                <c:formatCode>General</c:formatCode>
                <c:ptCount val="7"/>
                <c:pt idx="0">
                  <c:v>218</c:v>
                </c:pt>
                <c:pt idx="1">
                  <c:v>85</c:v>
                </c:pt>
                <c:pt idx="2">
                  <c:v>31</c:v>
                </c:pt>
                <c:pt idx="3">
                  <c:v>24</c:v>
                </c:pt>
                <c:pt idx="4">
                  <c:v>8</c:v>
                </c:pt>
                <c:pt idx="5">
                  <c:v>2</c:v>
                </c:pt>
                <c:pt idx="6">
                  <c:v>1</c:v>
                </c:pt>
              </c:numCache>
            </c:numRef>
          </c:val>
          <c:extLst>
            <c:ext xmlns:c16="http://schemas.microsoft.com/office/drawing/2014/chart" uri="{C3380CC4-5D6E-409C-BE32-E72D297353CC}">
              <c16:uniqueId val="{00000000-9543-4F8C-A898-00CC3F0DDF56}"/>
            </c:ext>
          </c:extLst>
        </c:ser>
        <c:dLbls>
          <c:dLblPos val="outEnd"/>
          <c:showLegendKey val="0"/>
          <c:showVal val="1"/>
          <c:showCatName val="0"/>
          <c:showSerName val="0"/>
          <c:showPercent val="0"/>
          <c:showBubbleSize val="0"/>
        </c:dLbls>
        <c:gapWidth val="79"/>
        <c:overlap val="-27"/>
        <c:axId val="385932904"/>
        <c:axId val="385933624"/>
      </c:barChart>
      <c:catAx>
        <c:axId val="3859329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85933624"/>
        <c:crosses val="autoZero"/>
        <c:auto val="1"/>
        <c:lblAlgn val="ctr"/>
        <c:lblOffset val="100"/>
        <c:noMultiLvlLbl val="0"/>
      </c:catAx>
      <c:valAx>
        <c:axId val="385933624"/>
        <c:scaling>
          <c:orientation val="minMax"/>
        </c:scaling>
        <c:delete val="1"/>
        <c:axPos val="l"/>
        <c:numFmt formatCode="General" sourceLinked="1"/>
        <c:majorTickMark val="out"/>
        <c:minorTickMark val="none"/>
        <c:tickLblPos val="nextTo"/>
        <c:crossAx val="3859329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Process.xlsx]Sales by Rep!PivotTable1</c:name>
    <c:fmtId val="23"/>
  </c:pivotSource>
  <c:chart>
    <c:title>
      <c:tx>
        <c:rich>
          <a:bodyPr rot="0" spcFirstLastPara="1" vertOverflow="ellipsis" vert="horz" wrap="square" anchor="ctr" anchorCtr="1"/>
          <a:lstStyle/>
          <a:p>
            <a:pPr algn="ctr">
              <a:defRPr sz="1100" b="0" i="0" u="none" strike="noStrike" kern="1200" spc="0" baseline="0">
                <a:solidFill>
                  <a:schemeClr val="tx1">
                    <a:lumMod val="65000"/>
                    <a:lumOff val="35000"/>
                  </a:schemeClr>
                </a:solidFill>
                <a:latin typeface="+mn-lt"/>
                <a:ea typeface="+mn-ea"/>
                <a:cs typeface="+mn-cs"/>
              </a:defRPr>
            </a:pPr>
            <a:r>
              <a:rPr lang="en-US" sz="1100" b="1" baseline="0">
                <a:solidFill>
                  <a:srgbClr val="084C2C"/>
                </a:solidFill>
                <a:latin typeface="Arial Narrow" panose="020B0606020202030204" pitchFamily="34" charset="0"/>
              </a:rPr>
              <a:t> </a:t>
            </a:r>
            <a:r>
              <a:rPr lang="en-US" sz="1400" b="1" baseline="0">
                <a:solidFill>
                  <a:srgbClr val="084C2C"/>
                </a:solidFill>
                <a:latin typeface="Arial Narrow" panose="020B0606020202030204" pitchFamily="34" charset="0"/>
              </a:rPr>
              <a:t>Salesperson Outlook </a:t>
            </a:r>
            <a:r>
              <a:rPr lang="en-US" sz="1200" b="0" i="1" baseline="0">
                <a:solidFill>
                  <a:srgbClr val="084C2C"/>
                </a:solidFill>
                <a:latin typeface="Arial Narrow" panose="020B0606020202030204" pitchFamily="34" charset="0"/>
              </a:rPr>
              <a:t>by Revenue</a:t>
            </a:r>
            <a:endParaRPr lang="en-US" sz="1200" b="0" i="1">
              <a:solidFill>
                <a:srgbClr val="084C2C"/>
              </a:solidFill>
              <a:latin typeface="Arial Narrow" panose="020B0606020202030204" pitchFamily="34" charset="0"/>
            </a:endParaRPr>
          </a:p>
        </c:rich>
      </c:tx>
      <c:layout>
        <c:manualLayout>
          <c:xMode val="edge"/>
          <c:yMode val="edge"/>
          <c:x val="4.6584301760059524E-2"/>
          <c:y val="1.2676054932233012E-2"/>
        </c:manualLayout>
      </c:layout>
      <c:overlay val="0"/>
      <c:spPr>
        <a:noFill/>
        <a:ln>
          <a:noFill/>
        </a:ln>
        <a:effectLst/>
      </c:spPr>
      <c:txPr>
        <a:bodyPr rot="0" spcFirstLastPara="1" vertOverflow="ellipsis" vert="horz" wrap="square" anchor="ctr" anchorCtr="1"/>
        <a:lstStyle/>
        <a:p>
          <a:pPr algn="ctr">
            <a:defRPr sz="11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1">
              <a:lumMod val="50000"/>
            </a:schemeClr>
          </a:solidFill>
          <a:ln>
            <a:noFill/>
          </a:ln>
          <a:effectLst/>
        </c:spPr>
      </c:pivotFmt>
      <c:pivotFmt>
        <c:idx val="3"/>
        <c:spPr>
          <a:solidFill>
            <a:schemeClr val="accent5">
              <a:lumMod val="75000"/>
            </a:schemeClr>
          </a:solidFill>
          <a:ln>
            <a:noFill/>
          </a:ln>
          <a:effectLst/>
        </c:spPr>
      </c:pivotFmt>
      <c:pivotFmt>
        <c:idx val="4"/>
        <c:spPr>
          <a:solidFill>
            <a:schemeClr val="accent1">
              <a:lumMod val="75000"/>
            </a:schemeClr>
          </a:solidFill>
          <a:ln>
            <a:noFill/>
          </a:ln>
          <a:effectLst/>
        </c:spPr>
      </c:pivotFmt>
      <c:pivotFmt>
        <c:idx val="5"/>
        <c:spPr>
          <a:solidFill>
            <a:schemeClr val="accent1">
              <a:lumMod val="75000"/>
            </a:schemeClr>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60000"/>
              <a:lumOff val="40000"/>
            </a:schemeClr>
          </a:solidFill>
          <a:ln>
            <a:noFill/>
          </a:ln>
          <a:effectLst/>
        </c:spPr>
      </c:pivotFmt>
      <c:pivotFmt>
        <c:idx val="8"/>
        <c:spPr>
          <a:solidFill>
            <a:schemeClr val="accent1">
              <a:lumMod val="60000"/>
              <a:lumOff val="40000"/>
            </a:schemeClr>
          </a:solidFill>
          <a:ln>
            <a:noFill/>
          </a:ln>
          <a:effectLst/>
        </c:spPr>
      </c:pivotFmt>
      <c:pivotFmt>
        <c:idx val="9"/>
        <c:spPr>
          <a:solidFill>
            <a:schemeClr val="accent5">
              <a:lumMod val="20000"/>
              <a:lumOff val="80000"/>
            </a:schemeClr>
          </a:solidFill>
          <a:ln>
            <a:noFill/>
          </a:ln>
          <a:effectLst/>
        </c:spPr>
      </c:pivotFmt>
      <c:pivotFmt>
        <c:idx val="10"/>
        <c:spPr>
          <a:solidFill>
            <a:schemeClr val="accent1">
              <a:lumMod val="20000"/>
              <a:lumOff val="80000"/>
            </a:schemeClr>
          </a:solidFill>
          <a:ln>
            <a:noFill/>
          </a:ln>
          <a:effectLst/>
        </c:spPr>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20000"/>
              <a:lumOff val="80000"/>
            </a:schemeClr>
          </a:solidFill>
          <a:ln>
            <a:noFill/>
          </a:ln>
          <a:effectLst/>
        </c:spPr>
      </c:pivotFmt>
      <c:pivotFmt>
        <c:idx val="13"/>
        <c:spPr>
          <a:solidFill>
            <a:schemeClr val="accent5">
              <a:lumMod val="20000"/>
              <a:lumOff val="80000"/>
            </a:schemeClr>
          </a:solidFill>
          <a:ln>
            <a:noFill/>
          </a:ln>
          <a:effectLst/>
        </c:spPr>
      </c:pivotFmt>
      <c:pivotFmt>
        <c:idx val="14"/>
        <c:spPr>
          <a:solidFill>
            <a:schemeClr val="accent1">
              <a:lumMod val="60000"/>
              <a:lumOff val="40000"/>
            </a:schemeClr>
          </a:solidFill>
          <a:ln>
            <a:noFill/>
          </a:ln>
          <a:effectLst/>
        </c:spPr>
      </c:pivotFmt>
      <c:pivotFmt>
        <c:idx val="15"/>
        <c:spPr>
          <a:solidFill>
            <a:schemeClr val="accent5">
              <a:lumMod val="60000"/>
              <a:lumOff val="40000"/>
            </a:schemeClr>
          </a:solidFill>
          <a:ln>
            <a:noFill/>
          </a:ln>
          <a:effectLst/>
        </c:spPr>
      </c:pivotFmt>
      <c:pivotFmt>
        <c:idx val="16"/>
        <c:spPr>
          <a:solidFill>
            <a:schemeClr val="accent5">
              <a:lumMod val="60000"/>
              <a:lumOff val="40000"/>
            </a:schemeClr>
          </a:solidFill>
          <a:ln>
            <a:noFill/>
          </a:ln>
          <a:effectLst/>
        </c:spPr>
      </c:pivotFmt>
      <c:pivotFmt>
        <c:idx val="17"/>
        <c:spPr>
          <a:solidFill>
            <a:schemeClr val="accent1">
              <a:lumMod val="75000"/>
            </a:schemeClr>
          </a:solidFill>
          <a:ln>
            <a:noFill/>
          </a:ln>
          <a:effectLst/>
        </c:spPr>
      </c:pivotFmt>
      <c:pivotFmt>
        <c:idx val="18"/>
        <c:spPr>
          <a:solidFill>
            <a:schemeClr val="accent1">
              <a:lumMod val="75000"/>
            </a:schemeClr>
          </a:solidFill>
          <a:ln>
            <a:noFill/>
          </a:ln>
          <a:effectLst/>
        </c:spPr>
      </c:pivotFmt>
      <c:pivotFmt>
        <c:idx val="19"/>
        <c:spPr>
          <a:solidFill>
            <a:schemeClr val="accent5">
              <a:lumMod val="75000"/>
            </a:schemeClr>
          </a:solidFill>
          <a:ln>
            <a:noFill/>
          </a:ln>
          <a:effectLst/>
        </c:spPr>
      </c:pivotFmt>
      <c:pivotFmt>
        <c:idx val="20"/>
        <c:spPr>
          <a:solidFill>
            <a:schemeClr val="accent1">
              <a:lumMod val="50000"/>
            </a:schemeClr>
          </a:solidFill>
          <a:ln>
            <a:noFill/>
          </a:ln>
          <a:effectLst/>
        </c:spPr>
      </c:pivotFmt>
      <c:pivotFmt>
        <c:idx val="21"/>
        <c:spPr>
          <a:solidFill>
            <a:schemeClr val="accent5">
              <a:lumMod val="50000"/>
            </a:schemeClr>
          </a:solidFill>
          <a:ln>
            <a:noFill/>
          </a:ln>
          <a:effectLst/>
        </c:spPr>
      </c:pivotFmt>
      <c:pivotFmt>
        <c:idx val="22"/>
        <c:spPr>
          <a:solidFill>
            <a:schemeClr val="accent5">
              <a:lumMod val="50000"/>
            </a:schemeClr>
          </a:solidFill>
          <a:ln>
            <a:solidFill>
              <a:schemeClr val="bg1"/>
            </a:solidFill>
          </a:ln>
          <a:effectLst/>
        </c:spPr>
      </c:pivotFmt>
      <c:pivotFmt>
        <c:idx val="23"/>
        <c:spPr>
          <a:solidFill>
            <a:schemeClr val="accent5">
              <a:lumMod val="50000"/>
            </a:schemeClr>
          </a:solidFill>
          <a:ln>
            <a:solidFill>
              <a:schemeClr val="bg1"/>
            </a:solidFill>
          </a:ln>
          <a:effectLst/>
        </c:spPr>
      </c:pivotFmt>
      <c:pivotFmt>
        <c:idx val="24"/>
        <c:spPr>
          <a:solidFill>
            <a:schemeClr val="accent5">
              <a:lumMod val="75000"/>
            </a:schemeClr>
          </a:solidFill>
          <a:ln>
            <a:solidFill>
              <a:schemeClr val="bg1"/>
            </a:solidFill>
          </a:ln>
          <a:effectLst/>
        </c:spPr>
      </c:pivotFmt>
      <c:pivotFmt>
        <c:idx val="25"/>
        <c:spPr>
          <a:solidFill>
            <a:schemeClr val="accent5">
              <a:lumMod val="75000"/>
            </a:schemeClr>
          </a:solidFill>
          <a:ln>
            <a:solidFill>
              <a:schemeClr val="bg1"/>
            </a:solidFill>
          </a:ln>
          <a:effectLst/>
        </c:spPr>
      </c:pivotFmt>
      <c:pivotFmt>
        <c:idx val="26"/>
        <c:spPr>
          <a:solidFill>
            <a:schemeClr val="accent5">
              <a:lumMod val="60000"/>
              <a:lumOff val="40000"/>
            </a:schemeClr>
          </a:solidFill>
          <a:ln>
            <a:solidFill>
              <a:schemeClr val="bg1"/>
            </a:solidFill>
          </a:ln>
          <a:effectLst/>
        </c:spPr>
      </c:pivotFmt>
      <c:pivotFmt>
        <c:idx val="27"/>
        <c:spPr>
          <a:solidFill>
            <a:schemeClr val="accent5">
              <a:lumMod val="60000"/>
              <a:lumOff val="40000"/>
            </a:schemeClr>
          </a:solidFill>
          <a:ln>
            <a:solidFill>
              <a:schemeClr val="bg1"/>
            </a:solidFill>
          </a:ln>
          <a:effectLst/>
        </c:spPr>
      </c:pivotFmt>
      <c:pivotFmt>
        <c:idx val="28"/>
        <c:spPr>
          <a:solidFill>
            <a:schemeClr val="accent5">
              <a:lumMod val="40000"/>
              <a:lumOff val="60000"/>
            </a:schemeClr>
          </a:solidFill>
          <a:ln>
            <a:solidFill>
              <a:schemeClr val="bg1"/>
            </a:solidFill>
          </a:ln>
          <a:effectLst/>
        </c:spPr>
      </c:pivotFmt>
      <c:pivotFmt>
        <c:idx val="29"/>
        <c:spPr>
          <a:solidFill>
            <a:schemeClr val="accent5">
              <a:lumMod val="20000"/>
              <a:lumOff val="80000"/>
            </a:schemeClr>
          </a:solidFill>
          <a:ln>
            <a:solidFill>
              <a:schemeClr val="bg1"/>
            </a:solidFill>
          </a:ln>
          <a:effectLst/>
        </c:spPr>
      </c:pivotFmt>
      <c:pivotFmt>
        <c:idx val="3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5">
              <a:lumMod val="20000"/>
              <a:lumOff val="80000"/>
            </a:schemeClr>
          </a:solidFill>
          <a:ln>
            <a:solidFill>
              <a:schemeClr val="bg1"/>
            </a:solidFill>
          </a:ln>
          <a:effectLst/>
        </c:spPr>
      </c:pivotFmt>
      <c:pivotFmt>
        <c:idx val="32"/>
        <c:spPr>
          <a:solidFill>
            <a:schemeClr val="accent5">
              <a:lumMod val="40000"/>
              <a:lumOff val="60000"/>
            </a:schemeClr>
          </a:solidFill>
          <a:ln>
            <a:solidFill>
              <a:schemeClr val="bg1"/>
            </a:solidFill>
          </a:ln>
          <a:effectLst/>
        </c:spPr>
      </c:pivotFmt>
      <c:pivotFmt>
        <c:idx val="33"/>
        <c:spPr>
          <a:solidFill>
            <a:schemeClr val="accent5">
              <a:lumMod val="60000"/>
              <a:lumOff val="40000"/>
            </a:schemeClr>
          </a:solidFill>
          <a:ln>
            <a:solidFill>
              <a:schemeClr val="bg1"/>
            </a:solidFill>
          </a:ln>
          <a:effectLst/>
        </c:spPr>
      </c:pivotFmt>
      <c:pivotFmt>
        <c:idx val="34"/>
        <c:spPr>
          <a:solidFill>
            <a:schemeClr val="accent5">
              <a:lumMod val="60000"/>
              <a:lumOff val="40000"/>
            </a:schemeClr>
          </a:solidFill>
          <a:ln>
            <a:solidFill>
              <a:schemeClr val="bg1"/>
            </a:solidFill>
          </a:ln>
          <a:effectLst/>
        </c:spPr>
      </c:pivotFmt>
      <c:pivotFmt>
        <c:idx val="35"/>
        <c:spPr>
          <a:solidFill>
            <a:schemeClr val="accent5">
              <a:lumMod val="75000"/>
            </a:schemeClr>
          </a:solidFill>
          <a:ln>
            <a:solidFill>
              <a:schemeClr val="bg1"/>
            </a:solidFill>
          </a:ln>
          <a:effectLst/>
        </c:spPr>
      </c:pivotFmt>
      <c:pivotFmt>
        <c:idx val="36"/>
        <c:spPr>
          <a:solidFill>
            <a:schemeClr val="accent5">
              <a:lumMod val="75000"/>
            </a:schemeClr>
          </a:solidFill>
          <a:ln>
            <a:solidFill>
              <a:schemeClr val="bg1"/>
            </a:solidFill>
          </a:ln>
          <a:effectLst/>
        </c:spPr>
      </c:pivotFmt>
      <c:pivotFmt>
        <c:idx val="37"/>
        <c:spPr>
          <a:solidFill>
            <a:schemeClr val="accent5">
              <a:lumMod val="50000"/>
            </a:schemeClr>
          </a:solidFill>
          <a:ln>
            <a:solidFill>
              <a:schemeClr val="bg1"/>
            </a:solidFill>
          </a:ln>
          <a:effectLst/>
        </c:spPr>
      </c:pivotFmt>
      <c:pivotFmt>
        <c:idx val="38"/>
        <c:spPr>
          <a:solidFill>
            <a:schemeClr val="accent5">
              <a:lumMod val="50000"/>
            </a:schemeClr>
          </a:solidFill>
          <a:ln>
            <a:solidFill>
              <a:schemeClr val="bg1"/>
            </a:solidFill>
          </a:ln>
          <a:effectLst/>
        </c:spPr>
      </c:pivotFmt>
      <c:pivotFmt>
        <c:idx val="39"/>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5">
              <a:lumMod val="20000"/>
              <a:lumOff val="80000"/>
            </a:schemeClr>
          </a:solidFill>
          <a:ln>
            <a:solidFill>
              <a:schemeClr val="bg1"/>
            </a:solidFill>
          </a:ln>
          <a:effectLst/>
        </c:spPr>
      </c:pivotFmt>
      <c:pivotFmt>
        <c:idx val="41"/>
        <c:spPr>
          <a:solidFill>
            <a:schemeClr val="accent5">
              <a:lumMod val="40000"/>
              <a:lumOff val="60000"/>
            </a:schemeClr>
          </a:solidFill>
          <a:ln>
            <a:solidFill>
              <a:schemeClr val="bg1"/>
            </a:solidFill>
          </a:ln>
          <a:effectLst/>
        </c:spPr>
      </c:pivotFmt>
      <c:pivotFmt>
        <c:idx val="42"/>
        <c:spPr>
          <a:solidFill>
            <a:schemeClr val="accent5">
              <a:lumMod val="60000"/>
              <a:lumOff val="40000"/>
            </a:schemeClr>
          </a:solidFill>
          <a:ln>
            <a:solidFill>
              <a:schemeClr val="bg1"/>
            </a:solidFill>
          </a:ln>
          <a:effectLst/>
        </c:spPr>
      </c:pivotFmt>
      <c:pivotFmt>
        <c:idx val="43"/>
        <c:spPr>
          <a:solidFill>
            <a:schemeClr val="accent5">
              <a:lumMod val="60000"/>
              <a:lumOff val="40000"/>
            </a:schemeClr>
          </a:solidFill>
          <a:ln>
            <a:solidFill>
              <a:schemeClr val="bg1"/>
            </a:solidFill>
          </a:ln>
          <a:effectLst/>
        </c:spPr>
      </c:pivotFmt>
      <c:pivotFmt>
        <c:idx val="44"/>
        <c:spPr>
          <a:solidFill>
            <a:schemeClr val="accent5">
              <a:lumMod val="75000"/>
            </a:schemeClr>
          </a:solidFill>
          <a:ln>
            <a:solidFill>
              <a:schemeClr val="bg1"/>
            </a:solidFill>
          </a:ln>
          <a:effectLst/>
        </c:spPr>
      </c:pivotFmt>
      <c:pivotFmt>
        <c:idx val="45"/>
        <c:spPr>
          <a:solidFill>
            <a:schemeClr val="accent5">
              <a:lumMod val="75000"/>
            </a:schemeClr>
          </a:solidFill>
          <a:ln>
            <a:solidFill>
              <a:schemeClr val="bg1"/>
            </a:solidFill>
          </a:ln>
          <a:effectLst/>
        </c:spPr>
      </c:pivotFmt>
      <c:pivotFmt>
        <c:idx val="46"/>
        <c:spPr>
          <a:solidFill>
            <a:schemeClr val="accent5">
              <a:lumMod val="50000"/>
            </a:schemeClr>
          </a:solidFill>
          <a:ln>
            <a:solidFill>
              <a:schemeClr val="bg1"/>
            </a:solidFill>
          </a:ln>
          <a:effectLst/>
        </c:spPr>
      </c:pivotFmt>
      <c:pivotFmt>
        <c:idx val="47"/>
        <c:spPr>
          <a:solidFill>
            <a:schemeClr val="accent5">
              <a:lumMod val="50000"/>
            </a:schemeClr>
          </a:solidFill>
          <a:ln>
            <a:solidFill>
              <a:schemeClr val="bg1"/>
            </a:solidFill>
          </a:ln>
          <a:effectLst/>
        </c:spPr>
      </c:pivotFmt>
      <c:pivotFmt>
        <c:idx val="4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5">
              <a:lumMod val="20000"/>
              <a:lumOff val="80000"/>
            </a:schemeClr>
          </a:solidFill>
          <a:ln>
            <a:solidFill>
              <a:schemeClr val="bg1"/>
            </a:solidFill>
          </a:ln>
          <a:effectLst/>
        </c:spPr>
      </c:pivotFmt>
      <c:pivotFmt>
        <c:idx val="50"/>
        <c:spPr>
          <a:solidFill>
            <a:schemeClr val="accent5">
              <a:lumMod val="40000"/>
              <a:lumOff val="60000"/>
            </a:schemeClr>
          </a:solidFill>
          <a:ln>
            <a:solidFill>
              <a:schemeClr val="bg1"/>
            </a:solidFill>
          </a:ln>
          <a:effectLst/>
        </c:spPr>
      </c:pivotFmt>
      <c:pivotFmt>
        <c:idx val="51"/>
        <c:spPr>
          <a:solidFill>
            <a:schemeClr val="accent5">
              <a:lumMod val="60000"/>
              <a:lumOff val="40000"/>
            </a:schemeClr>
          </a:solidFill>
          <a:ln>
            <a:solidFill>
              <a:schemeClr val="bg1"/>
            </a:solidFill>
          </a:ln>
          <a:effectLst/>
        </c:spPr>
      </c:pivotFmt>
      <c:pivotFmt>
        <c:idx val="52"/>
        <c:spPr>
          <a:solidFill>
            <a:schemeClr val="accent5">
              <a:lumMod val="60000"/>
              <a:lumOff val="40000"/>
            </a:schemeClr>
          </a:solidFill>
          <a:ln>
            <a:solidFill>
              <a:schemeClr val="bg1"/>
            </a:solidFill>
          </a:ln>
          <a:effectLst/>
        </c:spPr>
      </c:pivotFmt>
      <c:pivotFmt>
        <c:idx val="53"/>
        <c:spPr>
          <a:solidFill>
            <a:schemeClr val="accent5">
              <a:lumMod val="75000"/>
            </a:schemeClr>
          </a:solidFill>
          <a:ln>
            <a:solidFill>
              <a:schemeClr val="bg1"/>
            </a:solidFill>
          </a:ln>
          <a:effectLst/>
        </c:spPr>
      </c:pivotFmt>
      <c:pivotFmt>
        <c:idx val="54"/>
        <c:spPr>
          <a:solidFill>
            <a:schemeClr val="accent5">
              <a:lumMod val="75000"/>
            </a:schemeClr>
          </a:solidFill>
          <a:ln>
            <a:solidFill>
              <a:schemeClr val="bg1"/>
            </a:solidFill>
          </a:ln>
          <a:effectLst/>
        </c:spPr>
      </c:pivotFmt>
      <c:pivotFmt>
        <c:idx val="55"/>
        <c:spPr>
          <a:solidFill>
            <a:schemeClr val="accent5">
              <a:lumMod val="50000"/>
            </a:schemeClr>
          </a:solidFill>
          <a:ln>
            <a:solidFill>
              <a:schemeClr val="bg1"/>
            </a:solidFill>
          </a:ln>
          <a:effectLst/>
        </c:spPr>
      </c:pivotFmt>
      <c:pivotFmt>
        <c:idx val="56"/>
        <c:spPr>
          <a:solidFill>
            <a:schemeClr val="accent5">
              <a:lumMod val="50000"/>
            </a:schemeClr>
          </a:solidFill>
          <a:ln>
            <a:solidFill>
              <a:schemeClr val="bg1"/>
            </a:solidFill>
          </a:ln>
          <a:effectLst/>
        </c:spPr>
      </c:pivotFmt>
      <c:pivotFmt>
        <c:idx val="57"/>
        <c:spPr>
          <a:solidFill>
            <a:srgbClr val="084C2C"/>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96F4C7"/>
          </a:solidFill>
          <a:ln>
            <a:solidFill>
              <a:schemeClr val="bg1"/>
            </a:solidFill>
          </a:ln>
          <a:effectLst/>
        </c:spPr>
      </c:pivotFmt>
      <c:pivotFmt>
        <c:idx val="59"/>
        <c:spPr>
          <a:solidFill>
            <a:srgbClr val="67EFAE"/>
          </a:solidFill>
          <a:ln>
            <a:solidFill>
              <a:schemeClr val="bg1"/>
            </a:solidFill>
          </a:ln>
          <a:effectLst/>
        </c:spPr>
      </c:pivotFmt>
      <c:pivotFmt>
        <c:idx val="60"/>
        <c:spPr>
          <a:solidFill>
            <a:srgbClr val="21E789"/>
          </a:solidFill>
          <a:ln>
            <a:solidFill>
              <a:schemeClr val="bg1"/>
            </a:solidFill>
          </a:ln>
          <a:effectLst/>
        </c:spPr>
      </c:pivotFmt>
      <c:pivotFmt>
        <c:idx val="61"/>
        <c:spPr>
          <a:solidFill>
            <a:srgbClr val="16D077"/>
          </a:solidFill>
          <a:ln>
            <a:solidFill>
              <a:schemeClr val="bg1"/>
            </a:solidFill>
          </a:ln>
          <a:effectLst/>
        </c:spPr>
      </c:pivotFmt>
      <c:pivotFmt>
        <c:idx val="62"/>
        <c:spPr>
          <a:solidFill>
            <a:srgbClr val="14B468"/>
          </a:solidFill>
          <a:ln>
            <a:solidFill>
              <a:schemeClr val="bg1"/>
            </a:solidFill>
          </a:ln>
          <a:effectLst/>
        </c:spPr>
      </c:pivotFmt>
      <c:pivotFmt>
        <c:idx val="63"/>
        <c:spPr>
          <a:solidFill>
            <a:srgbClr val="0F8F52"/>
          </a:solidFill>
          <a:ln>
            <a:solidFill>
              <a:schemeClr val="bg1"/>
            </a:solidFill>
          </a:ln>
          <a:effectLst/>
        </c:spPr>
      </c:pivotFmt>
      <c:pivotFmt>
        <c:idx val="64"/>
        <c:spPr>
          <a:solidFill>
            <a:srgbClr val="0C7241"/>
          </a:solidFill>
          <a:ln>
            <a:solidFill>
              <a:schemeClr val="bg1"/>
            </a:solidFill>
          </a:ln>
          <a:effectLst/>
        </c:spPr>
      </c:pivotFmt>
      <c:pivotFmt>
        <c:idx val="65"/>
        <c:spPr>
          <a:solidFill>
            <a:srgbClr val="084C2C"/>
          </a:solidFill>
          <a:ln>
            <a:solidFill>
              <a:schemeClr val="bg1"/>
            </a:solidFill>
          </a:ln>
          <a:effectLst/>
        </c:spPr>
      </c:pivotFmt>
      <c:pivotFmt>
        <c:idx val="66"/>
        <c:spPr>
          <a:solidFill>
            <a:srgbClr val="084C2C"/>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rgbClr val="96F4C7"/>
          </a:solidFill>
          <a:ln>
            <a:solidFill>
              <a:schemeClr val="bg1"/>
            </a:solidFill>
          </a:ln>
          <a:effectLst/>
        </c:spPr>
      </c:pivotFmt>
      <c:pivotFmt>
        <c:idx val="68"/>
        <c:spPr>
          <a:solidFill>
            <a:srgbClr val="67EFAE"/>
          </a:solidFill>
          <a:ln>
            <a:solidFill>
              <a:schemeClr val="bg1"/>
            </a:solidFill>
          </a:ln>
          <a:effectLst/>
        </c:spPr>
      </c:pivotFmt>
      <c:pivotFmt>
        <c:idx val="69"/>
        <c:spPr>
          <a:solidFill>
            <a:srgbClr val="21E789"/>
          </a:solidFill>
          <a:ln>
            <a:solidFill>
              <a:schemeClr val="bg1"/>
            </a:solidFill>
          </a:ln>
          <a:effectLst/>
        </c:spPr>
      </c:pivotFmt>
      <c:pivotFmt>
        <c:idx val="70"/>
        <c:spPr>
          <a:solidFill>
            <a:srgbClr val="16D077"/>
          </a:solidFill>
          <a:ln>
            <a:solidFill>
              <a:schemeClr val="bg1"/>
            </a:solidFill>
          </a:ln>
          <a:effectLst/>
        </c:spPr>
      </c:pivotFmt>
      <c:pivotFmt>
        <c:idx val="71"/>
        <c:spPr>
          <a:solidFill>
            <a:srgbClr val="14B468"/>
          </a:solidFill>
          <a:ln>
            <a:solidFill>
              <a:schemeClr val="bg1"/>
            </a:solidFill>
          </a:ln>
          <a:effectLst/>
        </c:spPr>
      </c:pivotFmt>
      <c:pivotFmt>
        <c:idx val="72"/>
        <c:spPr>
          <a:solidFill>
            <a:srgbClr val="0F8F52"/>
          </a:solidFill>
          <a:ln>
            <a:solidFill>
              <a:schemeClr val="bg1"/>
            </a:solidFill>
          </a:ln>
          <a:effectLst/>
        </c:spPr>
      </c:pivotFmt>
      <c:pivotFmt>
        <c:idx val="73"/>
        <c:spPr>
          <a:solidFill>
            <a:srgbClr val="0C7241"/>
          </a:solidFill>
          <a:ln>
            <a:solidFill>
              <a:schemeClr val="bg1"/>
            </a:solidFill>
          </a:ln>
          <a:effectLst/>
        </c:spPr>
      </c:pivotFmt>
      <c:pivotFmt>
        <c:idx val="74"/>
        <c:spPr>
          <a:solidFill>
            <a:srgbClr val="084C2C"/>
          </a:solidFill>
          <a:ln>
            <a:solidFill>
              <a:schemeClr val="bg1"/>
            </a:solidFill>
          </a:ln>
          <a:effectLst/>
        </c:spPr>
      </c:pivotFmt>
      <c:pivotFmt>
        <c:idx val="75"/>
        <c:spPr>
          <a:solidFill>
            <a:srgbClr val="084C2C"/>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6"/>
        <c:spPr>
          <a:solidFill>
            <a:srgbClr val="96F4C7"/>
          </a:solidFill>
          <a:ln>
            <a:solidFill>
              <a:schemeClr val="bg1"/>
            </a:solidFill>
          </a:ln>
          <a:effectLst/>
        </c:spPr>
      </c:pivotFmt>
      <c:pivotFmt>
        <c:idx val="77"/>
        <c:spPr>
          <a:solidFill>
            <a:srgbClr val="67EFAE"/>
          </a:solidFill>
          <a:ln>
            <a:solidFill>
              <a:schemeClr val="bg1"/>
            </a:solidFill>
          </a:ln>
          <a:effectLst/>
        </c:spPr>
      </c:pivotFmt>
      <c:pivotFmt>
        <c:idx val="78"/>
        <c:spPr>
          <a:solidFill>
            <a:srgbClr val="21E789"/>
          </a:solidFill>
          <a:ln>
            <a:solidFill>
              <a:schemeClr val="bg1"/>
            </a:solidFill>
          </a:ln>
          <a:effectLst/>
        </c:spPr>
      </c:pivotFmt>
      <c:pivotFmt>
        <c:idx val="79"/>
        <c:spPr>
          <a:solidFill>
            <a:srgbClr val="16D077"/>
          </a:solidFill>
          <a:ln>
            <a:solidFill>
              <a:schemeClr val="bg1"/>
            </a:solidFill>
          </a:ln>
          <a:effectLst/>
        </c:spPr>
      </c:pivotFmt>
      <c:pivotFmt>
        <c:idx val="80"/>
        <c:spPr>
          <a:solidFill>
            <a:srgbClr val="14B468"/>
          </a:solidFill>
          <a:ln>
            <a:solidFill>
              <a:schemeClr val="bg1"/>
            </a:solidFill>
          </a:ln>
          <a:effectLst/>
        </c:spPr>
      </c:pivotFmt>
      <c:pivotFmt>
        <c:idx val="81"/>
        <c:spPr>
          <a:solidFill>
            <a:srgbClr val="0F8F52"/>
          </a:solidFill>
          <a:ln>
            <a:solidFill>
              <a:schemeClr val="bg1"/>
            </a:solidFill>
          </a:ln>
          <a:effectLst/>
        </c:spPr>
      </c:pivotFmt>
      <c:pivotFmt>
        <c:idx val="82"/>
        <c:spPr>
          <a:solidFill>
            <a:srgbClr val="0C7241"/>
          </a:solidFill>
          <a:ln>
            <a:solidFill>
              <a:schemeClr val="bg1"/>
            </a:solidFill>
          </a:ln>
          <a:effectLst/>
        </c:spPr>
      </c:pivotFmt>
      <c:pivotFmt>
        <c:idx val="83"/>
        <c:spPr>
          <a:solidFill>
            <a:srgbClr val="084C2C"/>
          </a:solidFill>
          <a:ln>
            <a:solidFill>
              <a:schemeClr val="bg1"/>
            </a:solidFill>
          </a:ln>
          <a:effectLst/>
        </c:spPr>
      </c:pivotFmt>
      <c:pivotFmt>
        <c:idx val="84"/>
        <c:spPr>
          <a:solidFill>
            <a:srgbClr val="084C2C"/>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5"/>
        <c:spPr>
          <a:solidFill>
            <a:srgbClr val="96F4C7"/>
          </a:solidFill>
          <a:ln>
            <a:solidFill>
              <a:schemeClr val="bg1"/>
            </a:solidFill>
          </a:ln>
          <a:effectLst/>
        </c:spPr>
      </c:pivotFmt>
      <c:pivotFmt>
        <c:idx val="86"/>
        <c:spPr>
          <a:solidFill>
            <a:srgbClr val="67EFAE"/>
          </a:solidFill>
          <a:ln>
            <a:solidFill>
              <a:schemeClr val="bg1"/>
            </a:solidFill>
          </a:ln>
          <a:effectLst/>
        </c:spPr>
      </c:pivotFmt>
      <c:pivotFmt>
        <c:idx val="87"/>
        <c:spPr>
          <a:solidFill>
            <a:srgbClr val="21E789"/>
          </a:solidFill>
          <a:ln>
            <a:solidFill>
              <a:schemeClr val="bg1"/>
            </a:solidFill>
          </a:ln>
          <a:effectLst/>
        </c:spPr>
      </c:pivotFmt>
      <c:pivotFmt>
        <c:idx val="88"/>
        <c:spPr>
          <a:solidFill>
            <a:srgbClr val="16D077"/>
          </a:solidFill>
          <a:ln>
            <a:solidFill>
              <a:schemeClr val="bg1"/>
            </a:solidFill>
          </a:ln>
          <a:effectLst/>
        </c:spPr>
      </c:pivotFmt>
      <c:pivotFmt>
        <c:idx val="89"/>
        <c:spPr>
          <a:solidFill>
            <a:srgbClr val="14B468"/>
          </a:solidFill>
          <a:ln>
            <a:solidFill>
              <a:schemeClr val="bg1"/>
            </a:solidFill>
          </a:ln>
          <a:effectLst/>
        </c:spPr>
      </c:pivotFmt>
      <c:pivotFmt>
        <c:idx val="90"/>
        <c:spPr>
          <a:solidFill>
            <a:srgbClr val="0F8F52"/>
          </a:solidFill>
          <a:ln>
            <a:solidFill>
              <a:schemeClr val="bg1"/>
            </a:solidFill>
          </a:ln>
          <a:effectLst/>
        </c:spPr>
      </c:pivotFmt>
      <c:pivotFmt>
        <c:idx val="91"/>
        <c:spPr>
          <a:solidFill>
            <a:srgbClr val="0C7241"/>
          </a:solidFill>
          <a:ln>
            <a:solidFill>
              <a:schemeClr val="bg1"/>
            </a:solidFill>
          </a:ln>
          <a:effectLst/>
        </c:spPr>
      </c:pivotFmt>
      <c:pivotFmt>
        <c:idx val="92"/>
        <c:spPr>
          <a:solidFill>
            <a:srgbClr val="084C2C"/>
          </a:solidFill>
          <a:ln>
            <a:solidFill>
              <a:schemeClr val="bg1"/>
            </a:solidFill>
          </a:ln>
          <a:effectLst/>
        </c:spPr>
      </c:pivotFmt>
      <c:pivotFmt>
        <c:idx val="93"/>
        <c:spPr>
          <a:solidFill>
            <a:srgbClr val="084C2C"/>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4"/>
        <c:spPr>
          <a:solidFill>
            <a:srgbClr val="96F4C7"/>
          </a:solidFill>
          <a:ln>
            <a:solidFill>
              <a:schemeClr val="bg1"/>
            </a:solidFill>
          </a:ln>
          <a:effectLst/>
        </c:spPr>
      </c:pivotFmt>
      <c:pivotFmt>
        <c:idx val="95"/>
        <c:spPr>
          <a:solidFill>
            <a:srgbClr val="67EFAE"/>
          </a:solidFill>
          <a:ln>
            <a:solidFill>
              <a:schemeClr val="bg1"/>
            </a:solidFill>
          </a:ln>
          <a:effectLst/>
        </c:spPr>
      </c:pivotFmt>
      <c:pivotFmt>
        <c:idx val="96"/>
        <c:spPr>
          <a:solidFill>
            <a:srgbClr val="21E789"/>
          </a:solidFill>
          <a:ln>
            <a:solidFill>
              <a:schemeClr val="bg1"/>
            </a:solidFill>
          </a:ln>
          <a:effectLst/>
        </c:spPr>
      </c:pivotFmt>
      <c:pivotFmt>
        <c:idx val="97"/>
        <c:spPr>
          <a:solidFill>
            <a:srgbClr val="16D077"/>
          </a:solidFill>
          <a:ln>
            <a:solidFill>
              <a:schemeClr val="bg1"/>
            </a:solidFill>
          </a:ln>
          <a:effectLst/>
        </c:spPr>
      </c:pivotFmt>
      <c:pivotFmt>
        <c:idx val="98"/>
        <c:spPr>
          <a:solidFill>
            <a:srgbClr val="14B468"/>
          </a:solidFill>
          <a:ln>
            <a:solidFill>
              <a:schemeClr val="bg1"/>
            </a:solidFill>
          </a:ln>
          <a:effectLst/>
        </c:spPr>
      </c:pivotFmt>
      <c:pivotFmt>
        <c:idx val="99"/>
        <c:spPr>
          <a:solidFill>
            <a:srgbClr val="0F8F52"/>
          </a:solidFill>
          <a:ln>
            <a:solidFill>
              <a:schemeClr val="bg1"/>
            </a:solidFill>
          </a:ln>
          <a:effectLst/>
        </c:spPr>
      </c:pivotFmt>
      <c:pivotFmt>
        <c:idx val="100"/>
        <c:spPr>
          <a:solidFill>
            <a:srgbClr val="0C7241"/>
          </a:solidFill>
          <a:ln>
            <a:solidFill>
              <a:schemeClr val="bg1"/>
            </a:solidFill>
          </a:ln>
          <a:effectLst/>
        </c:spPr>
      </c:pivotFmt>
      <c:pivotFmt>
        <c:idx val="101"/>
        <c:spPr>
          <a:solidFill>
            <a:srgbClr val="084C2C"/>
          </a:solidFill>
          <a:ln>
            <a:solidFill>
              <a:schemeClr val="bg1"/>
            </a:solidFill>
          </a:ln>
          <a:effectLst/>
        </c:spPr>
      </c:pivotFmt>
    </c:pivotFmts>
    <c:plotArea>
      <c:layout>
        <c:manualLayout>
          <c:layoutTarget val="inner"/>
          <c:xMode val="edge"/>
          <c:yMode val="edge"/>
          <c:x val="0.21367346899987266"/>
          <c:y val="0.11450329352435462"/>
          <c:w val="0.53428136457198894"/>
          <c:h val="0.79729843553799362"/>
        </c:manualLayout>
      </c:layout>
      <c:barChart>
        <c:barDir val="bar"/>
        <c:grouping val="clustered"/>
        <c:varyColors val="0"/>
        <c:ser>
          <c:idx val="0"/>
          <c:order val="0"/>
          <c:tx>
            <c:strRef>
              <c:f>'Sales by Rep'!$B$3</c:f>
              <c:strCache>
                <c:ptCount val="1"/>
                <c:pt idx="0">
                  <c:v>Total</c:v>
                </c:pt>
              </c:strCache>
            </c:strRef>
          </c:tx>
          <c:spPr>
            <a:solidFill>
              <a:srgbClr val="084C2C"/>
            </a:solidFill>
            <a:ln>
              <a:solidFill>
                <a:schemeClr val="bg1"/>
              </a:solidFill>
            </a:ln>
            <a:effectLst/>
          </c:spPr>
          <c:invertIfNegative val="0"/>
          <c:dPt>
            <c:idx val="0"/>
            <c:invertIfNegative val="0"/>
            <c:bubble3D val="0"/>
            <c:spPr>
              <a:solidFill>
                <a:srgbClr val="96F4C7"/>
              </a:solidFill>
              <a:ln>
                <a:solidFill>
                  <a:schemeClr val="bg1"/>
                </a:solidFill>
              </a:ln>
              <a:effectLst/>
            </c:spPr>
            <c:extLst>
              <c:ext xmlns:c16="http://schemas.microsoft.com/office/drawing/2014/chart" uri="{C3380CC4-5D6E-409C-BE32-E72D297353CC}">
                <c16:uniqueId val="{00000001-9633-45E6-8943-5594102923B7}"/>
              </c:ext>
            </c:extLst>
          </c:dPt>
          <c:dPt>
            <c:idx val="1"/>
            <c:invertIfNegative val="0"/>
            <c:bubble3D val="0"/>
            <c:spPr>
              <a:solidFill>
                <a:srgbClr val="67EFAE"/>
              </a:solidFill>
              <a:ln>
                <a:solidFill>
                  <a:schemeClr val="bg1"/>
                </a:solidFill>
              </a:ln>
              <a:effectLst/>
            </c:spPr>
            <c:extLst>
              <c:ext xmlns:c16="http://schemas.microsoft.com/office/drawing/2014/chart" uri="{C3380CC4-5D6E-409C-BE32-E72D297353CC}">
                <c16:uniqueId val="{00000003-9633-45E6-8943-5594102923B7}"/>
              </c:ext>
            </c:extLst>
          </c:dPt>
          <c:dPt>
            <c:idx val="2"/>
            <c:invertIfNegative val="0"/>
            <c:bubble3D val="0"/>
            <c:spPr>
              <a:solidFill>
                <a:srgbClr val="21E789"/>
              </a:solidFill>
              <a:ln>
                <a:solidFill>
                  <a:schemeClr val="bg1"/>
                </a:solidFill>
              </a:ln>
              <a:effectLst/>
            </c:spPr>
            <c:extLst>
              <c:ext xmlns:c16="http://schemas.microsoft.com/office/drawing/2014/chart" uri="{C3380CC4-5D6E-409C-BE32-E72D297353CC}">
                <c16:uniqueId val="{00000005-9633-45E6-8943-5594102923B7}"/>
              </c:ext>
            </c:extLst>
          </c:dPt>
          <c:dPt>
            <c:idx val="3"/>
            <c:invertIfNegative val="0"/>
            <c:bubble3D val="0"/>
            <c:spPr>
              <a:solidFill>
                <a:srgbClr val="16D077"/>
              </a:solidFill>
              <a:ln>
                <a:solidFill>
                  <a:schemeClr val="bg1"/>
                </a:solidFill>
              </a:ln>
              <a:effectLst/>
            </c:spPr>
            <c:extLst>
              <c:ext xmlns:c16="http://schemas.microsoft.com/office/drawing/2014/chart" uri="{C3380CC4-5D6E-409C-BE32-E72D297353CC}">
                <c16:uniqueId val="{00000007-9633-45E6-8943-5594102923B7}"/>
              </c:ext>
            </c:extLst>
          </c:dPt>
          <c:dPt>
            <c:idx val="4"/>
            <c:invertIfNegative val="0"/>
            <c:bubble3D val="0"/>
            <c:spPr>
              <a:solidFill>
                <a:srgbClr val="14B468"/>
              </a:solidFill>
              <a:ln>
                <a:solidFill>
                  <a:schemeClr val="bg1"/>
                </a:solidFill>
              </a:ln>
              <a:effectLst/>
            </c:spPr>
            <c:extLst>
              <c:ext xmlns:c16="http://schemas.microsoft.com/office/drawing/2014/chart" uri="{C3380CC4-5D6E-409C-BE32-E72D297353CC}">
                <c16:uniqueId val="{00000009-9633-45E6-8943-5594102923B7}"/>
              </c:ext>
            </c:extLst>
          </c:dPt>
          <c:dPt>
            <c:idx val="5"/>
            <c:invertIfNegative val="0"/>
            <c:bubble3D val="0"/>
            <c:spPr>
              <a:solidFill>
                <a:srgbClr val="0F8F52"/>
              </a:solidFill>
              <a:ln>
                <a:solidFill>
                  <a:schemeClr val="bg1"/>
                </a:solidFill>
              </a:ln>
              <a:effectLst/>
            </c:spPr>
            <c:extLst>
              <c:ext xmlns:c16="http://schemas.microsoft.com/office/drawing/2014/chart" uri="{C3380CC4-5D6E-409C-BE32-E72D297353CC}">
                <c16:uniqueId val="{0000000B-9633-45E6-8943-5594102923B7}"/>
              </c:ext>
            </c:extLst>
          </c:dPt>
          <c:dPt>
            <c:idx val="6"/>
            <c:invertIfNegative val="0"/>
            <c:bubble3D val="0"/>
            <c:spPr>
              <a:solidFill>
                <a:srgbClr val="0C7241"/>
              </a:solidFill>
              <a:ln>
                <a:solidFill>
                  <a:schemeClr val="bg1"/>
                </a:solidFill>
              </a:ln>
              <a:effectLst/>
            </c:spPr>
            <c:extLst>
              <c:ext xmlns:c16="http://schemas.microsoft.com/office/drawing/2014/chart" uri="{C3380CC4-5D6E-409C-BE32-E72D297353CC}">
                <c16:uniqueId val="{0000000D-9633-45E6-8943-5594102923B7}"/>
              </c:ext>
            </c:extLst>
          </c:dPt>
          <c:dPt>
            <c:idx val="7"/>
            <c:invertIfNegative val="0"/>
            <c:bubble3D val="0"/>
            <c:spPr>
              <a:solidFill>
                <a:srgbClr val="084C2C"/>
              </a:solidFill>
              <a:ln>
                <a:solidFill>
                  <a:schemeClr val="bg1"/>
                </a:solidFill>
              </a:ln>
              <a:effectLst/>
            </c:spPr>
            <c:extLst>
              <c:ext xmlns:c16="http://schemas.microsoft.com/office/drawing/2014/chart" uri="{C3380CC4-5D6E-409C-BE32-E72D297353CC}">
                <c16:uniqueId val="{0000000F-9633-45E6-8943-5594102923B7}"/>
              </c:ext>
            </c:extLst>
          </c:dPt>
          <c:dPt>
            <c:idx val="8"/>
            <c:invertIfNegative val="0"/>
            <c:bubble3D val="0"/>
            <c:extLst>
              <c:ext xmlns:c16="http://schemas.microsoft.com/office/drawing/2014/chart" uri="{C3380CC4-5D6E-409C-BE32-E72D297353CC}">
                <c16:uniqueId val="{00000010-9633-45E6-8943-5594102923B7}"/>
              </c:ext>
            </c:extLst>
          </c:dPt>
          <c:dPt>
            <c:idx val="9"/>
            <c:invertIfNegative val="0"/>
            <c:bubble3D val="0"/>
            <c:extLst>
              <c:ext xmlns:c16="http://schemas.microsoft.com/office/drawing/2014/chart" uri="{C3380CC4-5D6E-409C-BE32-E72D297353CC}">
                <c16:uniqueId val="{00000011-9633-45E6-8943-5594102923B7}"/>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Rep'!$A$4:$A$12</c:f>
              <c:strCache>
                <c:ptCount val="8"/>
                <c:pt idx="0">
                  <c:v>Jan Kotas</c:v>
                </c:pt>
                <c:pt idx="1">
                  <c:v>Robert Zare</c:v>
                </c:pt>
                <c:pt idx="2">
                  <c:v>Michael Neipper</c:v>
                </c:pt>
                <c:pt idx="3">
                  <c:v>Laura Giussani</c:v>
                </c:pt>
                <c:pt idx="4">
                  <c:v>Mariya Sergienko</c:v>
                </c:pt>
                <c:pt idx="5">
                  <c:v>Andrew Cencini</c:v>
                </c:pt>
                <c:pt idx="6">
                  <c:v>Anne Larsen</c:v>
                </c:pt>
                <c:pt idx="7">
                  <c:v>Nancy Freehafer</c:v>
                </c:pt>
              </c:strCache>
            </c:strRef>
          </c:cat>
          <c:val>
            <c:numRef>
              <c:f>'Sales by Rep'!$B$4:$B$12</c:f>
              <c:numCache>
                <c:formatCode>"$"#,##0.00</c:formatCode>
                <c:ptCount val="8"/>
                <c:pt idx="0">
                  <c:v>16350.5</c:v>
                </c:pt>
                <c:pt idx="1">
                  <c:v>32530.6</c:v>
                </c:pt>
                <c:pt idx="2">
                  <c:v>37428</c:v>
                </c:pt>
                <c:pt idx="3">
                  <c:v>41095.01</c:v>
                </c:pt>
                <c:pt idx="4">
                  <c:v>42370.880000000005</c:v>
                </c:pt>
                <c:pt idx="5">
                  <c:v>67180.5</c:v>
                </c:pt>
                <c:pt idx="6">
                  <c:v>93858.329999999987</c:v>
                </c:pt>
                <c:pt idx="7">
                  <c:v>104252.33999999997</c:v>
                </c:pt>
              </c:numCache>
            </c:numRef>
          </c:val>
          <c:extLst>
            <c:ext xmlns:c16="http://schemas.microsoft.com/office/drawing/2014/chart" uri="{C3380CC4-5D6E-409C-BE32-E72D297353CC}">
              <c16:uniqueId val="{00000012-9633-45E6-8943-5594102923B7}"/>
            </c:ext>
          </c:extLst>
        </c:ser>
        <c:dLbls>
          <c:showLegendKey val="0"/>
          <c:showVal val="0"/>
          <c:showCatName val="0"/>
          <c:showSerName val="0"/>
          <c:showPercent val="0"/>
          <c:showBubbleSize val="0"/>
        </c:dLbls>
        <c:gapWidth val="22"/>
        <c:axId val="547988360"/>
        <c:axId val="547987640"/>
      </c:barChart>
      <c:catAx>
        <c:axId val="547988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NG"/>
          </a:p>
        </c:txPr>
        <c:crossAx val="547987640"/>
        <c:crosses val="autoZero"/>
        <c:auto val="1"/>
        <c:lblAlgn val="ctr"/>
        <c:lblOffset val="100"/>
        <c:noMultiLvlLbl val="0"/>
      </c:catAx>
      <c:valAx>
        <c:axId val="547987640"/>
        <c:scaling>
          <c:orientation val="minMax"/>
        </c:scaling>
        <c:delete val="1"/>
        <c:axPos val="b"/>
        <c:numFmt formatCode="&quot;$&quot;#,##0.00" sourceLinked="1"/>
        <c:majorTickMark val="none"/>
        <c:minorTickMark val="none"/>
        <c:tickLblPos val="nextTo"/>
        <c:crossAx val="547988360"/>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38100" dir="2700000" algn="tl" rotWithShape="0">
        <a:srgbClr val="084C2C">
          <a:alpha val="40000"/>
        </a:srgb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Process.xlsx]Sales by Region!PivotTable1</c:name>
    <c:fmtId val="24"/>
  </c:pivotSource>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en-US" sz="1400" b="1">
                <a:solidFill>
                  <a:srgbClr val="084C2C"/>
                </a:solidFill>
                <a:latin typeface="Arial Narrow" panose="020B0606020202030204" pitchFamily="34" charset="0"/>
              </a:rPr>
              <a:t>Regional</a:t>
            </a:r>
            <a:r>
              <a:rPr lang="en-US" sz="1400" b="1" baseline="0">
                <a:solidFill>
                  <a:srgbClr val="084C2C"/>
                </a:solidFill>
                <a:latin typeface="Arial Narrow" panose="020B0606020202030204" pitchFamily="34" charset="0"/>
              </a:rPr>
              <a:t> Sales Performance</a:t>
            </a:r>
            <a:r>
              <a:rPr lang="en-US" sz="1200" b="1">
                <a:solidFill>
                  <a:srgbClr val="084C2C"/>
                </a:solidFill>
                <a:latin typeface="Arial Narrow" panose="020B0606020202030204" pitchFamily="34" charset="0"/>
              </a:rPr>
              <a:t> </a:t>
            </a:r>
            <a:r>
              <a:rPr lang="en-US" sz="1200" b="0" i="1">
                <a:solidFill>
                  <a:srgbClr val="084C2C"/>
                </a:solidFill>
                <a:latin typeface="Arial Narrow" panose="020B0606020202030204" pitchFamily="34" charset="0"/>
              </a:rPr>
              <a:t>by Revenue</a:t>
            </a:r>
          </a:p>
        </c:rich>
      </c:tx>
      <c:layout>
        <c:manualLayout>
          <c:xMode val="edge"/>
          <c:yMode val="edge"/>
          <c:x val="3.9787669662742275E-2"/>
          <c:y val="1.3323484469366246E-2"/>
        </c:manualLayout>
      </c:layout>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1">
              <a:lumMod val="50000"/>
            </a:schemeClr>
          </a:solidFill>
          <a:ln>
            <a:noFill/>
          </a:ln>
          <a:effectLst/>
        </c:spPr>
      </c:pivotFmt>
      <c:pivotFmt>
        <c:idx val="3"/>
        <c:spPr>
          <a:solidFill>
            <a:schemeClr val="accent5">
              <a:lumMod val="75000"/>
            </a:schemeClr>
          </a:solidFill>
          <a:ln>
            <a:noFill/>
          </a:ln>
          <a:effectLst/>
        </c:spPr>
      </c:pivotFmt>
      <c:pivotFmt>
        <c:idx val="4"/>
        <c:spPr>
          <a:solidFill>
            <a:schemeClr val="accent1">
              <a:lumMod val="75000"/>
            </a:schemeClr>
          </a:solidFill>
          <a:ln>
            <a:noFill/>
          </a:ln>
          <a:effectLst/>
        </c:spPr>
      </c:pivotFmt>
      <c:pivotFmt>
        <c:idx val="5"/>
        <c:spPr>
          <a:solidFill>
            <a:schemeClr val="accent1">
              <a:lumMod val="75000"/>
            </a:schemeClr>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60000"/>
              <a:lumOff val="40000"/>
            </a:schemeClr>
          </a:solidFill>
          <a:ln>
            <a:noFill/>
          </a:ln>
          <a:effectLst/>
        </c:spPr>
      </c:pivotFmt>
      <c:pivotFmt>
        <c:idx val="8"/>
        <c:spPr>
          <a:solidFill>
            <a:schemeClr val="accent1">
              <a:lumMod val="60000"/>
              <a:lumOff val="40000"/>
            </a:schemeClr>
          </a:solidFill>
          <a:ln>
            <a:noFill/>
          </a:ln>
          <a:effectLst/>
        </c:spPr>
      </c:pivotFmt>
      <c:pivotFmt>
        <c:idx val="9"/>
        <c:spPr>
          <a:solidFill>
            <a:schemeClr val="accent5">
              <a:lumMod val="20000"/>
              <a:lumOff val="80000"/>
            </a:schemeClr>
          </a:solidFill>
          <a:ln>
            <a:noFill/>
          </a:ln>
          <a:effectLst/>
        </c:spPr>
      </c:pivotFmt>
      <c:pivotFmt>
        <c:idx val="10"/>
        <c:spPr>
          <a:solidFill>
            <a:schemeClr val="accent1">
              <a:lumMod val="20000"/>
              <a:lumOff val="80000"/>
            </a:schemeClr>
          </a:solidFill>
          <a:ln>
            <a:noFill/>
          </a:ln>
          <a:effectLst/>
        </c:spPr>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20000"/>
              <a:lumOff val="80000"/>
            </a:schemeClr>
          </a:solidFill>
          <a:ln>
            <a:noFill/>
          </a:ln>
          <a:effectLst/>
        </c:spPr>
      </c:pivotFmt>
      <c:pivotFmt>
        <c:idx val="13"/>
        <c:spPr>
          <a:solidFill>
            <a:schemeClr val="accent5">
              <a:lumMod val="20000"/>
              <a:lumOff val="80000"/>
            </a:schemeClr>
          </a:solidFill>
          <a:ln>
            <a:noFill/>
          </a:ln>
          <a:effectLst/>
        </c:spPr>
      </c:pivotFmt>
      <c:pivotFmt>
        <c:idx val="14"/>
        <c:spPr>
          <a:solidFill>
            <a:schemeClr val="accent1">
              <a:lumMod val="60000"/>
              <a:lumOff val="40000"/>
            </a:schemeClr>
          </a:solidFill>
          <a:ln>
            <a:noFill/>
          </a:ln>
          <a:effectLst/>
        </c:spPr>
      </c:pivotFmt>
      <c:pivotFmt>
        <c:idx val="15"/>
        <c:spPr>
          <a:solidFill>
            <a:schemeClr val="accent5">
              <a:lumMod val="60000"/>
              <a:lumOff val="40000"/>
            </a:schemeClr>
          </a:solidFill>
          <a:ln>
            <a:noFill/>
          </a:ln>
          <a:effectLst/>
        </c:spPr>
      </c:pivotFmt>
      <c:pivotFmt>
        <c:idx val="16"/>
        <c:spPr>
          <a:solidFill>
            <a:schemeClr val="accent5">
              <a:lumMod val="60000"/>
              <a:lumOff val="40000"/>
            </a:schemeClr>
          </a:solidFill>
          <a:ln>
            <a:noFill/>
          </a:ln>
          <a:effectLst/>
        </c:spPr>
      </c:pivotFmt>
      <c:pivotFmt>
        <c:idx val="17"/>
        <c:spPr>
          <a:solidFill>
            <a:schemeClr val="accent1">
              <a:lumMod val="75000"/>
            </a:schemeClr>
          </a:solidFill>
          <a:ln>
            <a:noFill/>
          </a:ln>
          <a:effectLst/>
        </c:spPr>
      </c:pivotFmt>
      <c:pivotFmt>
        <c:idx val="18"/>
        <c:spPr>
          <a:solidFill>
            <a:schemeClr val="accent1">
              <a:lumMod val="75000"/>
            </a:schemeClr>
          </a:solidFill>
          <a:ln>
            <a:noFill/>
          </a:ln>
          <a:effectLst/>
        </c:spPr>
      </c:pivotFmt>
      <c:pivotFmt>
        <c:idx val="19"/>
        <c:spPr>
          <a:solidFill>
            <a:schemeClr val="accent5">
              <a:lumMod val="75000"/>
            </a:schemeClr>
          </a:solidFill>
          <a:ln>
            <a:noFill/>
          </a:ln>
          <a:effectLst/>
        </c:spPr>
      </c:pivotFmt>
      <c:pivotFmt>
        <c:idx val="20"/>
        <c:spPr>
          <a:solidFill>
            <a:schemeClr val="accent1">
              <a:lumMod val="50000"/>
            </a:schemeClr>
          </a:solidFill>
          <a:ln>
            <a:noFill/>
          </a:ln>
          <a:effectLst/>
        </c:spPr>
      </c:pivotFmt>
      <c:pivotFmt>
        <c:idx val="21"/>
        <c:spPr>
          <a:solidFill>
            <a:schemeClr val="accent5">
              <a:lumMod val="50000"/>
            </a:schemeClr>
          </a:solidFill>
          <a:ln>
            <a:noFill/>
          </a:ln>
          <a:effectLst/>
        </c:spPr>
      </c:pivotFmt>
      <c:pivotFmt>
        <c:idx val="22"/>
        <c:spPr>
          <a:solidFill>
            <a:schemeClr val="accent5">
              <a:lumMod val="50000"/>
            </a:schemeClr>
          </a:solidFill>
          <a:ln>
            <a:solidFill>
              <a:schemeClr val="bg1"/>
            </a:solidFill>
          </a:ln>
          <a:effectLst/>
        </c:spPr>
      </c:pivotFmt>
      <c:pivotFmt>
        <c:idx val="23"/>
        <c:spPr>
          <a:solidFill>
            <a:schemeClr val="accent5">
              <a:lumMod val="50000"/>
            </a:schemeClr>
          </a:solidFill>
          <a:ln>
            <a:solidFill>
              <a:schemeClr val="bg1"/>
            </a:solidFill>
          </a:ln>
          <a:effectLst/>
        </c:spPr>
      </c:pivotFmt>
      <c:pivotFmt>
        <c:idx val="24"/>
        <c:spPr>
          <a:solidFill>
            <a:schemeClr val="accent5">
              <a:lumMod val="75000"/>
            </a:schemeClr>
          </a:solidFill>
          <a:ln>
            <a:solidFill>
              <a:schemeClr val="bg1"/>
            </a:solidFill>
          </a:ln>
          <a:effectLst/>
        </c:spPr>
      </c:pivotFmt>
      <c:pivotFmt>
        <c:idx val="25"/>
        <c:spPr>
          <a:solidFill>
            <a:schemeClr val="accent5">
              <a:lumMod val="75000"/>
            </a:schemeClr>
          </a:solidFill>
          <a:ln>
            <a:solidFill>
              <a:schemeClr val="bg1"/>
            </a:solidFill>
          </a:ln>
          <a:effectLst/>
        </c:spPr>
      </c:pivotFmt>
      <c:pivotFmt>
        <c:idx val="26"/>
        <c:spPr>
          <a:solidFill>
            <a:schemeClr val="accent5">
              <a:lumMod val="60000"/>
              <a:lumOff val="40000"/>
            </a:schemeClr>
          </a:solidFill>
          <a:ln>
            <a:solidFill>
              <a:schemeClr val="bg1"/>
            </a:solidFill>
          </a:ln>
          <a:effectLst/>
        </c:spPr>
      </c:pivotFmt>
      <c:pivotFmt>
        <c:idx val="27"/>
        <c:spPr>
          <a:solidFill>
            <a:schemeClr val="accent5">
              <a:lumMod val="60000"/>
              <a:lumOff val="40000"/>
            </a:schemeClr>
          </a:solidFill>
          <a:ln>
            <a:solidFill>
              <a:schemeClr val="bg1"/>
            </a:solidFill>
          </a:ln>
          <a:effectLst/>
        </c:spPr>
      </c:pivotFmt>
      <c:pivotFmt>
        <c:idx val="28"/>
        <c:spPr>
          <a:solidFill>
            <a:schemeClr val="accent5">
              <a:lumMod val="40000"/>
              <a:lumOff val="60000"/>
            </a:schemeClr>
          </a:solidFill>
          <a:ln>
            <a:solidFill>
              <a:schemeClr val="bg1"/>
            </a:solidFill>
          </a:ln>
          <a:effectLst/>
        </c:spPr>
      </c:pivotFmt>
      <c:pivotFmt>
        <c:idx val="29"/>
        <c:spPr>
          <a:solidFill>
            <a:schemeClr val="accent5">
              <a:lumMod val="20000"/>
              <a:lumOff val="80000"/>
            </a:schemeClr>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5">
              <a:lumMod val="20000"/>
              <a:lumOff val="80000"/>
            </a:schemeClr>
          </a:solidFill>
          <a:ln>
            <a:solidFill>
              <a:schemeClr val="bg1"/>
            </a:solidFill>
          </a:ln>
          <a:effectLst/>
        </c:spPr>
      </c:pivotFmt>
      <c:pivotFmt>
        <c:idx val="32"/>
        <c:spPr>
          <a:solidFill>
            <a:schemeClr val="accent5">
              <a:lumMod val="40000"/>
              <a:lumOff val="60000"/>
            </a:schemeClr>
          </a:solidFill>
          <a:ln>
            <a:solidFill>
              <a:schemeClr val="bg1"/>
            </a:solidFill>
          </a:ln>
          <a:effectLst/>
        </c:spPr>
      </c:pivotFmt>
      <c:pivotFmt>
        <c:idx val="33"/>
        <c:spPr>
          <a:solidFill>
            <a:schemeClr val="accent5">
              <a:lumMod val="60000"/>
              <a:lumOff val="40000"/>
            </a:schemeClr>
          </a:solidFill>
          <a:ln>
            <a:solidFill>
              <a:schemeClr val="bg1"/>
            </a:solidFill>
          </a:ln>
          <a:effectLst/>
        </c:spPr>
      </c:pivotFmt>
      <c:pivotFmt>
        <c:idx val="34"/>
        <c:spPr>
          <a:solidFill>
            <a:schemeClr val="accent5">
              <a:lumMod val="60000"/>
              <a:lumOff val="40000"/>
            </a:schemeClr>
          </a:solidFill>
          <a:ln>
            <a:solidFill>
              <a:schemeClr val="bg1"/>
            </a:solidFill>
          </a:ln>
          <a:effectLst/>
        </c:spPr>
      </c:pivotFmt>
      <c:pivotFmt>
        <c:idx val="35"/>
        <c:spPr>
          <a:solidFill>
            <a:schemeClr val="accent5">
              <a:lumMod val="75000"/>
            </a:schemeClr>
          </a:solidFill>
          <a:ln>
            <a:solidFill>
              <a:schemeClr val="bg1"/>
            </a:solidFill>
          </a:ln>
          <a:effectLst/>
        </c:spPr>
      </c:pivotFmt>
      <c:pivotFmt>
        <c:idx val="36"/>
        <c:spPr>
          <a:solidFill>
            <a:schemeClr val="accent5">
              <a:lumMod val="75000"/>
            </a:schemeClr>
          </a:solidFill>
          <a:ln>
            <a:solidFill>
              <a:schemeClr val="bg1"/>
            </a:solidFill>
          </a:ln>
          <a:effectLst/>
        </c:spPr>
      </c:pivotFmt>
      <c:pivotFmt>
        <c:idx val="37"/>
        <c:spPr>
          <a:solidFill>
            <a:schemeClr val="accent5">
              <a:lumMod val="50000"/>
            </a:schemeClr>
          </a:solidFill>
          <a:ln>
            <a:solidFill>
              <a:schemeClr val="bg1"/>
            </a:solidFill>
          </a:ln>
          <a:effectLst/>
        </c:spPr>
      </c:pivotFmt>
      <c:pivotFmt>
        <c:idx val="38"/>
        <c:spPr>
          <a:solidFill>
            <a:schemeClr val="accent5">
              <a:lumMod val="50000"/>
            </a:schemeClr>
          </a:solidFill>
          <a:ln>
            <a:solidFill>
              <a:schemeClr val="bg1"/>
            </a:solidFill>
          </a:ln>
          <a:effectLst/>
        </c:spPr>
      </c:pivotFmt>
      <c:pivotFmt>
        <c:idx val="39"/>
        <c:spPr>
          <a:solidFill>
            <a:schemeClr val="accent5">
              <a:lumMod val="20000"/>
              <a:lumOff val="80000"/>
            </a:schemeClr>
          </a:solidFill>
          <a:ln>
            <a:noFill/>
          </a:ln>
          <a:effectLst/>
        </c:spPr>
      </c:pivotFmt>
      <c:pivotFmt>
        <c:idx val="40"/>
        <c:spPr>
          <a:solidFill>
            <a:schemeClr val="accent5">
              <a:lumMod val="60000"/>
              <a:lumOff val="40000"/>
            </a:schemeClr>
          </a:solidFill>
          <a:ln>
            <a:noFill/>
          </a:ln>
          <a:effectLst/>
        </c:spPr>
      </c:pivotFmt>
      <c:pivotFmt>
        <c:idx val="41"/>
        <c:spPr>
          <a:solidFill>
            <a:schemeClr val="accent5">
              <a:lumMod val="50000"/>
            </a:schemeClr>
          </a:solidFill>
          <a:ln>
            <a:noFill/>
          </a:ln>
          <a:effectLst/>
        </c:spPr>
      </c:pivotFmt>
      <c:pivotFmt>
        <c:idx val="42"/>
        <c:spPr>
          <a:solidFill>
            <a:schemeClr val="accent5">
              <a:lumMod val="75000"/>
            </a:schemeClr>
          </a:solidFill>
          <a:ln>
            <a:noFill/>
          </a:ln>
          <a:effectLst/>
        </c:spPr>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5">
              <a:lumMod val="20000"/>
              <a:lumOff val="80000"/>
            </a:schemeClr>
          </a:solidFill>
          <a:ln>
            <a:noFill/>
          </a:ln>
          <a:effectLst/>
        </c:spPr>
      </c:pivotFmt>
      <c:pivotFmt>
        <c:idx val="45"/>
        <c:spPr>
          <a:solidFill>
            <a:schemeClr val="accent5">
              <a:lumMod val="60000"/>
              <a:lumOff val="40000"/>
            </a:schemeClr>
          </a:solidFill>
          <a:ln>
            <a:noFill/>
          </a:ln>
          <a:effectLst/>
        </c:spPr>
      </c:pivotFmt>
      <c:pivotFmt>
        <c:idx val="46"/>
        <c:spPr>
          <a:solidFill>
            <a:schemeClr val="accent5">
              <a:lumMod val="75000"/>
            </a:schemeClr>
          </a:solidFill>
          <a:ln>
            <a:noFill/>
          </a:ln>
          <a:effectLst/>
        </c:spPr>
      </c:pivotFmt>
      <c:pivotFmt>
        <c:idx val="47"/>
        <c:spPr>
          <a:solidFill>
            <a:schemeClr val="accent5">
              <a:lumMod val="50000"/>
            </a:schemeClr>
          </a:solidFill>
          <a:ln>
            <a:noFill/>
          </a:ln>
          <a:effectLst/>
        </c:spPr>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rgbClr val="67EFAE"/>
          </a:solidFill>
          <a:ln>
            <a:noFill/>
          </a:ln>
          <a:effectLst/>
        </c:spPr>
      </c:pivotFmt>
      <c:pivotFmt>
        <c:idx val="50"/>
        <c:spPr>
          <a:solidFill>
            <a:srgbClr val="16D077"/>
          </a:solidFill>
          <a:ln>
            <a:noFill/>
          </a:ln>
          <a:effectLst/>
        </c:spPr>
      </c:pivotFmt>
      <c:pivotFmt>
        <c:idx val="51"/>
        <c:spPr>
          <a:solidFill>
            <a:srgbClr val="119B59"/>
          </a:solidFill>
          <a:ln>
            <a:noFill/>
          </a:ln>
          <a:effectLst/>
        </c:spPr>
      </c:pivotFmt>
      <c:pivotFmt>
        <c:idx val="52"/>
        <c:spPr>
          <a:solidFill>
            <a:srgbClr val="0C7241"/>
          </a:solidFill>
          <a:ln>
            <a:noFill/>
          </a:ln>
          <a:effectLst/>
        </c:spPr>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67EFAE"/>
          </a:solidFill>
          <a:ln>
            <a:noFill/>
          </a:ln>
          <a:effectLst/>
        </c:spPr>
      </c:pivotFmt>
      <c:pivotFmt>
        <c:idx val="55"/>
        <c:spPr>
          <a:solidFill>
            <a:srgbClr val="16D077"/>
          </a:solidFill>
          <a:ln>
            <a:noFill/>
          </a:ln>
          <a:effectLst/>
        </c:spPr>
      </c:pivotFmt>
      <c:pivotFmt>
        <c:idx val="56"/>
        <c:spPr>
          <a:solidFill>
            <a:srgbClr val="119B59"/>
          </a:solidFill>
          <a:ln>
            <a:noFill/>
          </a:ln>
          <a:effectLst/>
        </c:spPr>
      </c:pivotFmt>
      <c:pivotFmt>
        <c:idx val="57"/>
        <c:spPr>
          <a:solidFill>
            <a:srgbClr val="0C7241"/>
          </a:solidFill>
          <a:ln>
            <a:noFill/>
          </a:ln>
          <a:effectLst/>
        </c:spPr>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59"/>
        <c:spPr>
          <a:solidFill>
            <a:srgbClr val="67EFAE"/>
          </a:solidFill>
          <a:ln>
            <a:noFill/>
          </a:ln>
          <a:effectLst/>
        </c:spPr>
      </c:pivotFmt>
      <c:pivotFmt>
        <c:idx val="60"/>
        <c:spPr>
          <a:solidFill>
            <a:srgbClr val="16D077"/>
          </a:solidFill>
          <a:ln>
            <a:noFill/>
          </a:ln>
          <a:effectLst/>
        </c:spPr>
      </c:pivotFmt>
      <c:pivotFmt>
        <c:idx val="61"/>
        <c:spPr>
          <a:solidFill>
            <a:srgbClr val="0C7241"/>
          </a:solidFill>
          <a:ln>
            <a:noFill/>
          </a:ln>
          <a:effectLst/>
        </c:spPr>
      </c:pivotFmt>
      <c:pivotFmt>
        <c:idx val="62"/>
        <c:spPr>
          <a:solidFill>
            <a:srgbClr val="084C2C"/>
          </a:solidFill>
          <a:ln>
            <a:solidFill>
              <a:srgbClr val="084C2C"/>
            </a:solidFill>
          </a:ln>
          <a:effectLst/>
        </c:spPr>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64"/>
        <c:spPr>
          <a:solidFill>
            <a:srgbClr val="67EFAE"/>
          </a:solidFill>
          <a:ln>
            <a:noFill/>
          </a:ln>
          <a:effectLst/>
        </c:spPr>
      </c:pivotFmt>
      <c:pivotFmt>
        <c:idx val="65"/>
        <c:spPr>
          <a:solidFill>
            <a:srgbClr val="16D077"/>
          </a:solidFill>
          <a:ln>
            <a:noFill/>
          </a:ln>
          <a:effectLst/>
        </c:spPr>
      </c:pivotFmt>
      <c:pivotFmt>
        <c:idx val="66"/>
        <c:spPr>
          <a:solidFill>
            <a:srgbClr val="0C7241"/>
          </a:solidFill>
          <a:ln>
            <a:noFill/>
          </a:ln>
          <a:effectLst/>
        </c:spPr>
      </c:pivotFmt>
      <c:pivotFmt>
        <c:idx val="67"/>
        <c:spPr>
          <a:solidFill>
            <a:srgbClr val="084C2C"/>
          </a:solidFill>
          <a:ln>
            <a:solidFill>
              <a:srgbClr val="084C2C"/>
            </a:solidFill>
          </a:ln>
          <a:effectLst/>
        </c:spPr>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69"/>
        <c:spPr>
          <a:solidFill>
            <a:srgbClr val="67EFAE"/>
          </a:solidFill>
          <a:ln>
            <a:noFill/>
          </a:ln>
          <a:effectLst/>
        </c:spPr>
      </c:pivotFmt>
      <c:pivotFmt>
        <c:idx val="70"/>
        <c:spPr>
          <a:solidFill>
            <a:srgbClr val="16D077"/>
          </a:solidFill>
          <a:ln>
            <a:noFill/>
          </a:ln>
          <a:effectLst/>
        </c:spPr>
      </c:pivotFmt>
      <c:pivotFmt>
        <c:idx val="71"/>
        <c:spPr>
          <a:solidFill>
            <a:srgbClr val="0C7241"/>
          </a:solidFill>
          <a:ln>
            <a:noFill/>
          </a:ln>
          <a:effectLst/>
        </c:spPr>
      </c:pivotFmt>
      <c:pivotFmt>
        <c:idx val="72"/>
        <c:spPr>
          <a:solidFill>
            <a:srgbClr val="084C2C"/>
          </a:solidFill>
          <a:ln>
            <a:solidFill>
              <a:srgbClr val="084C2C"/>
            </a:solidFill>
          </a:ln>
          <a:effectLst/>
        </c:spPr>
      </c:pivotFmt>
    </c:pivotFmts>
    <c:plotArea>
      <c:layout>
        <c:manualLayout>
          <c:layoutTarget val="inner"/>
          <c:xMode val="edge"/>
          <c:yMode val="edge"/>
          <c:x val="0.22098210314843494"/>
          <c:y val="0.19644874155561359"/>
          <c:w val="0.57469916953590017"/>
          <c:h val="0.83941763695602756"/>
        </c:manualLayout>
      </c:layout>
      <c:pieChart>
        <c:varyColors val="1"/>
        <c:ser>
          <c:idx val="0"/>
          <c:order val="0"/>
          <c:tx>
            <c:strRef>
              <c:f>'Sales by Region'!$B$3</c:f>
              <c:strCache>
                <c:ptCount val="1"/>
                <c:pt idx="0">
                  <c:v>Total</c:v>
                </c:pt>
              </c:strCache>
            </c:strRef>
          </c:tx>
          <c:spPr>
            <a:ln>
              <a:noFill/>
            </a:ln>
          </c:spPr>
          <c:dPt>
            <c:idx val="0"/>
            <c:bubble3D val="0"/>
            <c:spPr>
              <a:solidFill>
                <a:srgbClr val="67EFAE"/>
              </a:solidFill>
              <a:ln>
                <a:noFill/>
              </a:ln>
              <a:effectLst/>
            </c:spPr>
            <c:extLst>
              <c:ext xmlns:c16="http://schemas.microsoft.com/office/drawing/2014/chart" uri="{C3380CC4-5D6E-409C-BE32-E72D297353CC}">
                <c16:uniqueId val="{00000001-F836-4CA7-8CD5-4CD5C7FD4C0A}"/>
              </c:ext>
            </c:extLst>
          </c:dPt>
          <c:dPt>
            <c:idx val="1"/>
            <c:bubble3D val="0"/>
            <c:spPr>
              <a:solidFill>
                <a:srgbClr val="16D077"/>
              </a:solidFill>
              <a:ln>
                <a:noFill/>
              </a:ln>
              <a:effectLst/>
            </c:spPr>
            <c:extLst>
              <c:ext xmlns:c16="http://schemas.microsoft.com/office/drawing/2014/chart" uri="{C3380CC4-5D6E-409C-BE32-E72D297353CC}">
                <c16:uniqueId val="{00000003-F836-4CA7-8CD5-4CD5C7FD4C0A}"/>
              </c:ext>
            </c:extLst>
          </c:dPt>
          <c:dPt>
            <c:idx val="2"/>
            <c:bubble3D val="0"/>
            <c:spPr>
              <a:solidFill>
                <a:srgbClr val="0C7241"/>
              </a:solidFill>
              <a:ln>
                <a:noFill/>
              </a:ln>
              <a:effectLst/>
            </c:spPr>
            <c:extLst>
              <c:ext xmlns:c16="http://schemas.microsoft.com/office/drawing/2014/chart" uri="{C3380CC4-5D6E-409C-BE32-E72D297353CC}">
                <c16:uniqueId val="{00000005-F836-4CA7-8CD5-4CD5C7FD4C0A}"/>
              </c:ext>
            </c:extLst>
          </c:dPt>
          <c:dPt>
            <c:idx val="3"/>
            <c:bubble3D val="0"/>
            <c:spPr>
              <a:solidFill>
                <a:srgbClr val="084C2C"/>
              </a:solidFill>
              <a:ln>
                <a:solidFill>
                  <a:srgbClr val="084C2C"/>
                </a:solidFill>
              </a:ln>
              <a:effectLst/>
            </c:spPr>
            <c:extLst>
              <c:ext xmlns:c16="http://schemas.microsoft.com/office/drawing/2014/chart" uri="{C3380CC4-5D6E-409C-BE32-E72D297353CC}">
                <c16:uniqueId val="{00000007-F836-4CA7-8CD5-4CD5C7FD4C0A}"/>
              </c:ext>
            </c:extLst>
          </c:dPt>
          <c:dPt>
            <c:idx val="4"/>
            <c:bubble3D val="0"/>
            <c:spPr>
              <a:solidFill>
                <a:schemeClr val="accent5"/>
              </a:solidFill>
              <a:ln>
                <a:noFill/>
              </a:ln>
              <a:effectLst/>
            </c:spPr>
            <c:extLst>
              <c:ext xmlns:c16="http://schemas.microsoft.com/office/drawing/2014/chart" uri="{C3380CC4-5D6E-409C-BE32-E72D297353CC}">
                <c16:uniqueId val="{00000009-F836-4CA7-8CD5-4CD5C7FD4C0A}"/>
              </c:ext>
            </c:extLst>
          </c:dPt>
          <c:dPt>
            <c:idx val="5"/>
            <c:bubble3D val="0"/>
            <c:spPr>
              <a:solidFill>
                <a:schemeClr val="accent6"/>
              </a:solidFill>
              <a:ln>
                <a:noFill/>
              </a:ln>
              <a:effectLst/>
            </c:spPr>
            <c:extLst>
              <c:ext xmlns:c16="http://schemas.microsoft.com/office/drawing/2014/chart" uri="{C3380CC4-5D6E-409C-BE32-E72D297353CC}">
                <c16:uniqueId val="{0000000B-F836-4CA7-8CD5-4CD5C7FD4C0A}"/>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F836-4CA7-8CD5-4CD5C7FD4C0A}"/>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836-4CA7-8CD5-4CD5C7FD4C0A}"/>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F836-4CA7-8CD5-4CD5C7FD4C0A}"/>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F836-4CA7-8CD5-4CD5C7FD4C0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Region'!$A$4:$A$8</c:f>
              <c:strCache>
                <c:ptCount val="4"/>
                <c:pt idx="0">
                  <c:v>West</c:v>
                </c:pt>
                <c:pt idx="1">
                  <c:v>South</c:v>
                </c:pt>
                <c:pt idx="2">
                  <c:v>East</c:v>
                </c:pt>
                <c:pt idx="3">
                  <c:v>North</c:v>
                </c:pt>
              </c:strCache>
            </c:strRef>
          </c:cat>
          <c:val>
            <c:numRef>
              <c:f>'Sales by Region'!$B$4:$B$8</c:f>
              <c:numCache>
                <c:formatCode>0.00%</c:formatCode>
                <c:ptCount val="4"/>
                <c:pt idx="0">
                  <c:v>0.20974276647947063</c:v>
                </c:pt>
                <c:pt idx="1">
                  <c:v>0.21573346453789927</c:v>
                </c:pt>
                <c:pt idx="2">
                  <c:v>0.24887136705828836</c:v>
                </c:pt>
                <c:pt idx="3">
                  <c:v>0.32565240192434181</c:v>
                </c:pt>
              </c:numCache>
            </c:numRef>
          </c:val>
          <c:extLst>
            <c:ext xmlns:c16="http://schemas.microsoft.com/office/drawing/2014/chart" uri="{C3380CC4-5D6E-409C-BE32-E72D297353CC}">
              <c16:uniqueId val="{00000014-F836-4CA7-8CD5-4CD5C7FD4C0A}"/>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82370914967839226"/>
          <c:y val="0.31983854591761973"/>
          <c:w val="0.15546579098658636"/>
          <c:h val="0.344160236833579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38100" dir="2700000" algn="tl" rotWithShape="0">
        <a:srgbClr val="084C2C">
          <a:alpha val="40000"/>
        </a:srgb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Process.xlsx]Sales by Product category!PivotTable1</c:name>
    <c:fmtId val="25"/>
  </c:pivotSource>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en-US" sz="1400" b="1" baseline="0">
                <a:solidFill>
                  <a:srgbClr val="084C2C"/>
                </a:solidFill>
                <a:latin typeface="Arial Narrow" panose="020B0606020202030204" pitchFamily="34" charset="0"/>
              </a:rPr>
              <a:t>Product Category </a:t>
            </a:r>
            <a:r>
              <a:rPr lang="en-US" sz="1200" b="0" i="1" baseline="0">
                <a:solidFill>
                  <a:srgbClr val="084C2C"/>
                </a:solidFill>
                <a:latin typeface="Arial Narrow" panose="020B0606020202030204" pitchFamily="34" charset="0"/>
              </a:rPr>
              <a:t>by </a:t>
            </a:r>
            <a:r>
              <a:rPr lang="en-US" sz="1200" b="0" i="1" u="none" strike="noStrike" kern="1200" spc="0" baseline="0">
                <a:solidFill>
                  <a:srgbClr val="084C2C"/>
                </a:solidFill>
                <a:latin typeface="Arial Narrow" panose="020B0606020202030204" pitchFamily="34" charset="0"/>
              </a:rPr>
              <a:t>Revenue Generated</a:t>
            </a:r>
            <a:endParaRPr lang="en-US" sz="1200" b="0" i="1">
              <a:solidFill>
                <a:srgbClr val="084C2C"/>
              </a:solidFill>
              <a:latin typeface="Arial Narrow" panose="020B0606020202030204" pitchFamily="34" charset="0"/>
            </a:endParaRPr>
          </a:p>
        </c:rich>
      </c:tx>
      <c:layout>
        <c:manualLayout>
          <c:xMode val="edge"/>
          <c:yMode val="edge"/>
          <c:x val="1.5433328506341907E-2"/>
          <c:y val="1.6642998081031743E-2"/>
        </c:manualLayout>
      </c:layout>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1">
              <a:lumMod val="50000"/>
            </a:schemeClr>
          </a:solidFill>
          <a:ln>
            <a:noFill/>
          </a:ln>
          <a:effectLst/>
        </c:spPr>
      </c:pivotFmt>
      <c:pivotFmt>
        <c:idx val="3"/>
        <c:spPr>
          <a:solidFill>
            <a:schemeClr val="accent5">
              <a:lumMod val="75000"/>
            </a:schemeClr>
          </a:solidFill>
          <a:ln>
            <a:noFill/>
          </a:ln>
          <a:effectLst/>
        </c:spPr>
      </c:pivotFmt>
      <c:pivotFmt>
        <c:idx val="4"/>
        <c:spPr>
          <a:solidFill>
            <a:schemeClr val="accent1">
              <a:lumMod val="75000"/>
            </a:schemeClr>
          </a:solidFill>
          <a:ln>
            <a:noFill/>
          </a:ln>
          <a:effectLst/>
        </c:spPr>
      </c:pivotFmt>
      <c:pivotFmt>
        <c:idx val="5"/>
        <c:spPr>
          <a:solidFill>
            <a:schemeClr val="accent1">
              <a:lumMod val="75000"/>
            </a:schemeClr>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60000"/>
              <a:lumOff val="40000"/>
            </a:schemeClr>
          </a:solidFill>
          <a:ln>
            <a:noFill/>
          </a:ln>
          <a:effectLst/>
        </c:spPr>
      </c:pivotFmt>
      <c:pivotFmt>
        <c:idx val="8"/>
        <c:spPr>
          <a:solidFill>
            <a:schemeClr val="accent1">
              <a:lumMod val="60000"/>
              <a:lumOff val="40000"/>
            </a:schemeClr>
          </a:solidFill>
          <a:ln>
            <a:noFill/>
          </a:ln>
          <a:effectLst/>
        </c:spPr>
      </c:pivotFmt>
      <c:pivotFmt>
        <c:idx val="9"/>
        <c:spPr>
          <a:solidFill>
            <a:schemeClr val="accent5">
              <a:lumMod val="20000"/>
              <a:lumOff val="80000"/>
            </a:schemeClr>
          </a:solidFill>
          <a:ln>
            <a:noFill/>
          </a:ln>
          <a:effectLst/>
        </c:spPr>
      </c:pivotFmt>
      <c:pivotFmt>
        <c:idx val="10"/>
        <c:spPr>
          <a:solidFill>
            <a:schemeClr val="accent1">
              <a:lumMod val="20000"/>
              <a:lumOff val="80000"/>
            </a:schemeClr>
          </a:solidFill>
          <a:ln>
            <a:noFill/>
          </a:ln>
          <a:effectLst/>
        </c:spPr>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20000"/>
              <a:lumOff val="80000"/>
            </a:schemeClr>
          </a:solidFill>
          <a:ln>
            <a:noFill/>
          </a:ln>
          <a:effectLst/>
        </c:spPr>
      </c:pivotFmt>
      <c:pivotFmt>
        <c:idx val="13"/>
        <c:spPr>
          <a:solidFill>
            <a:schemeClr val="accent5">
              <a:lumMod val="20000"/>
              <a:lumOff val="80000"/>
            </a:schemeClr>
          </a:solidFill>
          <a:ln>
            <a:noFill/>
          </a:ln>
          <a:effectLst/>
        </c:spPr>
      </c:pivotFmt>
      <c:pivotFmt>
        <c:idx val="14"/>
        <c:spPr>
          <a:solidFill>
            <a:schemeClr val="accent1">
              <a:lumMod val="60000"/>
              <a:lumOff val="40000"/>
            </a:schemeClr>
          </a:solidFill>
          <a:ln>
            <a:noFill/>
          </a:ln>
          <a:effectLst/>
        </c:spPr>
      </c:pivotFmt>
      <c:pivotFmt>
        <c:idx val="15"/>
        <c:spPr>
          <a:solidFill>
            <a:schemeClr val="accent5">
              <a:lumMod val="60000"/>
              <a:lumOff val="40000"/>
            </a:schemeClr>
          </a:solidFill>
          <a:ln>
            <a:noFill/>
          </a:ln>
          <a:effectLst/>
        </c:spPr>
      </c:pivotFmt>
      <c:pivotFmt>
        <c:idx val="16"/>
        <c:spPr>
          <a:solidFill>
            <a:schemeClr val="accent5">
              <a:lumMod val="60000"/>
              <a:lumOff val="40000"/>
            </a:schemeClr>
          </a:solidFill>
          <a:ln>
            <a:noFill/>
          </a:ln>
          <a:effectLst/>
        </c:spPr>
      </c:pivotFmt>
      <c:pivotFmt>
        <c:idx val="17"/>
        <c:spPr>
          <a:solidFill>
            <a:schemeClr val="accent1">
              <a:lumMod val="75000"/>
            </a:schemeClr>
          </a:solidFill>
          <a:ln>
            <a:noFill/>
          </a:ln>
          <a:effectLst/>
        </c:spPr>
      </c:pivotFmt>
      <c:pivotFmt>
        <c:idx val="18"/>
        <c:spPr>
          <a:solidFill>
            <a:schemeClr val="accent1">
              <a:lumMod val="75000"/>
            </a:schemeClr>
          </a:solidFill>
          <a:ln>
            <a:noFill/>
          </a:ln>
          <a:effectLst/>
        </c:spPr>
      </c:pivotFmt>
      <c:pivotFmt>
        <c:idx val="19"/>
        <c:spPr>
          <a:solidFill>
            <a:schemeClr val="accent5">
              <a:lumMod val="75000"/>
            </a:schemeClr>
          </a:solidFill>
          <a:ln>
            <a:noFill/>
          </a:ln>
          <a:effectLst/>
        </c:spPr>
      </c:pivotFmt>
      <c:pivotFmt>
        <c:idx val="20"/>
        <c:spPr>
          <a:solidFill>
            <a:schemeClr val="accent1">
              <a:lumMod val="50000"/>
            </a:schemeClr>
          </a:solidFill>
          <a:ln>
            <a:noFill/>
          </a:ln>
          <a:effectLst/>
        </c:spPr>
      </c:pivotFmt>
      <c:pivotFmt>
        <c:idx val="21"/>
        <c:spPr>
          <a:solidFill>
            <a:schemeClr val="accent5">
              <a:lumMod val="50000"/>
            </a:schemeClr>
          </a:solidFill>
          <a:ln>
            <a:noFill/>
          </a:ln>
          <a:effectLst/>
        </c:spPr>
      </c:pivotFmt>
      <c:pivotFmt>
        <c:idx val="22"/>
        <c:spPr>
          <a:solidFill>
            <a:schemeClr val="accent5">
              <a:lumMod val="50000"/>
            </a:schemeClr>
          </a:solidFill>
          <a:ln>
            <a:solidFill>
              <a:schemeClr val="bg1"/>
            </a:solidFill>
          </a:ln>
          <a:effectLst/>
        </c:spPr>
      </c:pivotFmt>
      <c:pivotFmt>
        <c:idx val="23"/>
        <c:spPr>
          <a:solidFill>
            <a:schemeClr val="accent5">
              <a:lumMod val="50000"/>
            </a:schemeClr>
          </a:solidFill>
          <a:ln>
            <a:solidFill>
              <a:schemeClr val="bg1"/>
            </a:solidFill>
          </a:ln>
          <a:effectLst/>
        </c:spPr>
      </c:pivotFmt>
      <c:pivotFmt>
        <c:idx val="24"/>
        <c:spPr>
          <a:solidFill>
            <a:schemeClr val="accent5">
              <a:lumMod val="75000"/>
            </a:schemeClr>
          </a:solidFill>
          <a:ln>
            <a:solidFill>
              <a:schemeClr val="bg1"/>
            </a:solidFill>
          </a:ln>
          <a:effectLst/>
        </c:spPr>
      </c:pivotFmt>
      <c:pivotFmt>
        <c:idx val="25"/>
        <c:spPr>
          <a:solidFill>
            <a:schemeClr val="accent5">
              <a:lumMod val="75000"/>
            </a:schemeClr>
          </a:solidFill>
          <a:ln>
            <a:solidFill>
              <a:schemeClr val="bg1"/>
            </a:solidFill>
          </a:ln>
          <a:effectLst/>
        </c:spPr>
      </c:pivotFmt>
      <c:pivotFmt>
        <c:idx val="26"/>
        <c:spPr>
          <a:solidFill>
            <a:schemeClr val="accent5">
              <a:lumMod val="60000"/>
              <a:lumOff val="40000"/>
            </a:schemeClr>
          </a:solidFill>
          <a:ln>
            <a:solidFill>
              <a:schemeClr val="bg1"/>
            </a:solidFill>
          </a:ln>
          <a:effectLst/>
        </c:spPr>
      </c:pivotFmt>
      <c:pivotFmt>
        <c:idx val="27"/>
        <c:spPr>
          <a:solidFill>
            <a:schemeClr val="accent5">
              <a:lumMod val="60000"/>
              <a:lumOff val="40000"/>
            </a:schemeClr>
          </a:solidFill>
          <a:ln>
            <a:solidFill>
              <a:schemeClr val="bg1"/>
            </a:solidFill>
          </a:ln>
          <a:effectLst/>
        </c:spPr>
      </c:pivotFmt>
      <c:pivotFmt>
        <c:idx val="28"/>
        <c:spPr>
          <a:solidFill>
            <a:schemeClr val="accent5">
              <a:lumMod val="40000"/>
              <a:lumOff val="60000"/>
            </a:schemeClr>
          </a:solidFill>
          <a:ln>
            <a:solidFill>
              <a:schemeClr val="bg1"/>
            </a:solidFill>
          </a:ln>
          <a:effectLst/>
        </c:spPr>
      </c:pivotFmt>
      <c:pivotFmt>
        <c:idx val="29"/>
        <c:spPr>
          <a:solidFill>
            <a:schemeClr val="accent5">
              <a:lumMod val="20000"/>
              <a:lumOff val="80000"/>
            </a:schemeClr>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5">
              <a:lumMod val="20000"/>
              <a:lumOff val="80000"/>
            </a:schemeClr>
          </a:solidFill>
          <a:ln>
            <a:solidFill>
              <a:schemeClr val="bg1"/>
            </a:solidFill>
          </a:ln>
          <a:effectLst/>
        </c:spPr>
      </c:pivotFmt>
      <c:pivotFmt>
        <c:idx val="32"/>
        <c:spPr>
          <a:solidFill>
            <a:schemeClr val="accent5">
              <a:lumMod val="40000"/>
              <a:lumOff val="60000"/>
            </a:schemeClr>
          </a:solidFill>
          <a:ln>
            <a:solidFill>
              <a:schemeClr val="bg1"/>
            </a:solidFill>
          </a:ln>
          <a:effectLst/>
        </c:spPr>
      </c:pivotFmt>
      <c:pivotFmt>
        <c:idx val="33"/>
        <c:spPr>
          <a:solidFill>
            <a:schemeClr val="accent5">
              <a:lumMod val="60000"/>
              <a:lumOff val="40000"/>
            </a:schemeClr>
          </a:solidFill>
          <a:ln>
            <a:solidFill>
              <a:schemeClr val="bg1"/>
            </a:solidFill>
          </a:ln>
          <a:effectLst/>
        </c:spPr>
      </c:pivotFmt>
      <c:pivotFmt>
        <c:idx val="34"/>
        <c:spPr>
          <a:solidFill>
            <a:schemeClr val="accent5">
              <a:lumMod val="60000"/>
              <a:lumOff val="40000"/>
            </a:schemeClr>
          </a:solidFill>
          <a:ln>
            <a:solidFill>
              <a:schemeClr val="bg1"/>
            </a:solidFill>
          </a:ln>
          <a:effectLst/>
        </c:spPr>
      </c:pivotFmt>
      <c:pivotFmt>
        <c:idx val="35"/>
        <c:spPr>
          <a:solidFill>
            <a:schemeClr val="accent5">
              <a:lumMod val="75000"/>
            </a:schemeClr>
          </a:solidFill>
          <a:ln>
            <a:solidFill>
              <a:schemeClr val="bg1"/>
            </a:solidFill>
          </a:ln>
          <a:effectLst/>
        </c:spPr>
      </c:pivotFmt>
      <c:pivotFmt>
        <c:idx val="36"/>
        <c:spPr>
          <a:solidFill>
            <a:schemeClr val="accent5">
              <a:lumMod val="75000"/>
            </a:schemeClr>
          </a:solidFill>
          <a:ln>
            <a:solidFill>
              <a:schemeClr val="bg1"/>
            </a:solidFill>
          </a:ln>
          <a:effectLst/>
        </c:spPr>
      </c:pivotFmt>
      <c:pivotFmt>
        <c:idx val="37"/>
        <c:spPr>
          <a:solidFill>
            <a:schemeClr val="accent5">
              <a:lumMod val="50000"/>
            </a:schemeClr>
          </a:solidFill>
          <a:ln>
            <a:solidFill>
              <a:schemeClr val="bg1"/>
            </a:solidFill>
          </a:ln>
          <a:effectLst/>
        </c:spPr>
      </c:pivotFmt>
      <c:pivotFmt>
        <c:idx val="38"/>
        <c:spPr>
          <a:solidFill>
            <a:schemeClr val="accent5">
              <a:lumMod val="50000"/>
            </a:schemeClr>
          </a:solidFill>
          <a:ln>
            <a:solidFill>
              <a:schemeClr val="bg1"/>
            </a:solidFill>
          </a:ln>
          <a:effectLst/>
        </c:spPr>
      </c:pivotFmt>
      <c:pivotFmt>
        <c:idx val="39"/>
        <c:spPr>
          <a:solidFill>
            <a:schemeClr val="accent5">
              <a:lumMod val="20000"/>
              <a:lumOff val="80000"/>
            </a:schemeClr>
          </a:solidFill>
          <a:ln>
            <a:noFill/>
          </a:ln>
          <a:effectLst/>
        </c:spPr>
      </c:pivotFmt>
      <c:pivotFmt>
        <c:idx val="40"/>
        <c:spPr>
          <a:solidFill>
            <a:schemeClr val="accent5">
              <a:lumMod val="60000"/>
              <a:lumOff val="40000"/>
            </a:schemeClr>
          </a:solidFill>
          <a:ln>
            <a:noFill/>
          </a:ln>
          <a:effectLst/>
        </c:spPr>
      </c:pivotFmt>
      <c:pivotFmt>
        <c:idx val="41"/>
        <c:spPr>
          <a:solidFill>
            <a:schemeClr val="accent5">
              <a:lumMod val="50000"/>
            </a:schemeClr>
          </a:solidFill>
          <a:ln>
            <a:noFill/>
          </a:ln>
          <a:effectLst/>
        </c:spPr>
      </c:pivotFmt>
      <c:pivotFmt>
        <c:idx val="42"/>
        <c:spPr>
          <a:solidFill>
            <a:schemeClr val="accent5">
              <a:lumMod val="75000"/>
            </a:schemeClr>
          </a:solidFill>
          <a:ln>
            <a:noFill/>
          </a:ln>
          <a:effectLst/>
        </c:spPr>
      </c:pivotFmt>
      <c:pivotFmt>
        <c:idx val="43"/>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5">
              <a:lumMod val="20000"/>
              <a:lumOff val="80000"/>
            </a:schemeClr>
          </a:solidFill>
          <a:ln>
            <a:noFill/>
          </a:ln>
          <a:effectLst/>
        </c:spPr>
      </c:pivotFmt>
      <c:pivotFmt>
        <c:idx val="45"/>
        <c:spPr>
          <a:solidFill>
            <a:schemeClr val="accent5">
              <a:lumMod val="60000"/>
              <a:lumOff val="40000"/>
            </a:schemeClr>
          </a:solidFill>
          <a:ln>
            <a:noFill/>
          </a:ln>
          <a:effectLst/>
        </c:spPr>
      </c:pivotFmt>
      <c:pivotFmt>
        <c:idx val="46"/>
        <c:spPr>
          <a:solidFill>
            <a:schemeClr val="accent5">
              <a:lumMod val="75000"/>
            </a:schemeClr>
          </a:solidFill>
          <a:ln>
            <a:noFill/>
          </a:ln>
          <a:effectLst/>
        </c:spPr>
      </c:pivotFmt>
      <c:pivotFmt>
        <c:idx val="47"/>
        <c:spPr>
          <a:solidFill>
            <a:schemeClr val="accent5">
              <a:lumMod val="50000"/>
            </a:schemeClr>
          </a:solidFill>
          <a:ln>
            <a:noFill/>
          </a:ln>
          <a:effectLst/>
        </c:spPr>
      </c:pivotFmt>
      <c:pivotFmt>
        <c:idx val="48"/>
        <c:spPr>
          <a:solidFill>
            <a:schemeClr val="accent5">
              <a:lumMod val="75000"/>
            </a:schemeClr>
          </a:solidFill>
          <a:ln>
            <a:noFill/>
          </a:ln>
          <a:effectLst/>
        </c:spPr>
      </c:pivotFmt>
      <c:pivotFmt>
        <c:idx val="49"/>
        <c:spPr>
          <a:solidFill>
            <a:schemeClr val="accent5">
              <a:lumMod val="60000"/>
              <a:lumOff val="40000"/>
            </a:schemeClr>
          </a:solidFill>
          <a:ln>
            <a:noFill/>
          </a:ln>
          <a:effectLst/>
        </c:spPr>
      </c:pivotFmt>
      <c:pivotFmt>
        <c:idx val="50"/>
        <c:spPr>
          <a:solidFill>
            <a:schemeClr val="accent5">
              <a:lumMod val="40000"/>
              <a:lumOff val="60000"/>
            </a:schemeClr>
          </a:solidFill>
          <a:ln>
            <a:noFill/>
          </a:ln>
          <a:effectLst/>
        </c:spPr>
      </c:pivotFmt>
      <c:pivotFmt>
        <c:idx val="51"/>
        <c:spPr>
          <a:solidFill>
            <a:schemeClr val="accent5">
              <a:lumMod val="20000"/>
              <a:lumOff val="80000"/>
            </a:schemeClr>
          </a:solidFill>
          <a:ln>
            <a:noFill/>
          </a:ln>
          <a:effectLst/>
        </c:spPr>
      </c:pivotFmt>
      <c:pivotFmt>
        <c:idx val="5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lumMod val="75000"/>
            </a:schemeClr>
          </a:solidFill>
          <a:ln>
            <a:noFill/>
          </a:ln>
          <a:effectLst/>
        </c:spPr>
      </c:pivotFmt>
      <c:pivotFmt>
        <c:idx val="54"/>
        <c:spPr>
          <a:solidFill>
            <a:schemeClr val="accent5">
              <a:lumMod val="60000"/>
              <a:lumOff val="40000"/>
            </a:schemeClr>
          </a:solidFill>
          <a:ln>
            <a:noFill/>
          </a:ln>
          <a:effectLst/>
        </c:spPr>
      </c:pivotFmt>
      <c:pivotFmt>
        <c:idx val="55"/>
        <c:spPr>
          <a:solidFill>
            <a:schemeClr val="accent5">
              <a:lumMod val="40000"/>
              <a:lumOff val="60000"/>
            </a:schemeClr>
          </a:solidFill>
          <a:ln>
            <a:noFill/>
          </a:ln>
          <a:effectLst/>
        </c:spPr>
      </c:pivotFmt>
      <c:pivotFmt>
        <c:idx val="56"/>
        <c:spPr>
          <a:solidFill>
            <a:schemeClr val="accent5">
              <a:lumMod val="20000"/>
              <a:lumOff val="80000"/>
            </a:schemeClr>
          </a:solidFill>
          <a:ln>
            <a:noFill/>
          </a:ln>
          <a:effectLst/>
        </c:spPr>
      </c:pivotFmt>
      <c:pivotFmt>
        <c:idx val="57"/>
        <c:spPr>
          <a:solidFill>
            <a:srgbClr val="084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084C2C"/>
          </a:solidFill>
          <a:ln>
            <a:noFill/>
          </a:ln>
          <a:effectLst/>
        </c:spPr>
      </c:pivotFmt>
      <c:pivotFmt>
        <c:idx val="59"/>
        <c:spPr>
          <a:solidFill>
            <a:srgbClr val="084C2C"/>
          </a:solidFill>
          <a:ln>
            <a:noFill/>
          </a:ln>
          <a:effectLst/>
        </c:spPr>
      </c:pivotFmt>
      <c:pivotFmt>
        <c:idx val="60"/>
        <c:spPr>
          <a:solidFill>
            <a:srgbClr val="084C2C"/>
          </a:solidFill>
          <a:ln>
            <a:noFill/>
          </a:ln>
          <a:effectLst/>
        </c:spPr>
      </c:pivotFmt>
      <c:pivotFmt>
        <c:idx val="61"/>
        <c:spPr>
          <a:solidFill>
            <a:srgbClr val="084C2C"/>
          </a:solidFill>
          <a:ln>
            <a:noFill/>
          </a:ln>
          <a:effectLst/>
        </c:spPr>
      </c:pivotFmt>
      <c:pivotFmt>
        <c:idx val="62"/>
        <c:spPr>
          <a:solidFill>
            <a:srgbClr val="084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rgbClr val="084C2C"/>
          </a:solidFill>
          <a:ln>
            <a:noFill/>
          </a:ln>
          <a:effectLst/>
        </c:spPr>
      </c:pivotFmt>
      <c:pivotFmt>
        <c:idx val="64"/>
        <c:spPr>
          <a:solidFill>
            <a:srgbClr val="084C2C"/>
          </a:solidFill>
          <a:ln>
            <a:noFill/>
          </a:ln>
          <a:effectLst/>
        </c:spPr>
      </c:pivotFmt>
      <c:pivotFmt>
        <c:idx val="65"/>
        <c:spPr>
          <a:solidFill>
            <a:srgbClr val="084C2C"/>
          </a:solidFill>
          <a:ln>
            <a:noFill/>
          </a:ln>
          <a:effectLst/>
        </c:spPr>
      </c:pivotFmt>
      <c:pivotFmt>
        <c:idx val="66"/>
        <c:spPr>
          <a:solidFill>
            <a:srgbClr val="084C2C"/>
          </a:solidFill>
          <a:ln>
            <a:noFill/>
          </a:ln>
          <a:effectLst/>
        </c:spPr>
      </c:pivotFmt>
      <c:pivotFmt>
        <c:idx val="67"/>
        <c:spPr>
          <a:solidFill>
            <a:srgbClr val="084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rgbClr val="084C2C"/>
          </a:solidFill>
          <a:ln>
            <a:noFill/>
          </a:ln>
          <a:effectLst/>
        </c:spPr>
      </c:pivotFmt>
      <c:pivotFmt>
        <c:idx val="69"/>
        <c:spPr>
          <a:solidFill>
            <a:srgbClr val="084C2C"/>
          </a:solidFill>
          <a:ln>
            <a:noFill/>
          </a:ln>
          <a:effectLst/>
        </c:spPr>
      </c:pivotFmt>
      <c:pivotFmt>
        <c:idx val="70"/>
        <c:spPr>
          <a:solidFill>
            <a:srgbClr val="084C2C"/>
          </a:solidFill>
          <a:ln>
            <a:noFill/>
          </a:ln>
          <a:effectLst/>
        </c:spPr>
      </c:pivotFmt>
      <c:pivotFmt>
        <c:idx val="71"/>
        <c:spPr>
          <a:solidFill>
            <a:srgbClr val="084C2C"/>
          </a:solidFill>
          <a:ln>
            <a:noFill/>
          </a:ln>
          <a:effectLst/>
        </c:spPr>
      </c:pivotFmt>
      <c:pivotFmt>
        <c:idx val="72"/>
        <c:spPr>
          <a:solidFill>
            <a:srgbClr val="084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3"/>
        <c:spPr>
          <a:solidFill>
            <a:srgbClr val="084C2C"/>
          </a:solidFill>
          <a:ln>
            <a:noFill/>
          </a:ln>
          <a:effectLst/>
        </c:spPr>
      </c:pivotFmt>
      <c:pivotFmt>
        <c:idx val="74"/>
        <c:spPr>
          <a:solidFill>
            <a:srgbClr val="084C2C"/>
          </a:solidFill>
          <a:ln>
            <a:noFill/>
          </a:ln>
          <a:effectLst/>
        </c:spPr>
      </c:pivotFmt>
      <c:pivotFmt>
        <c:idx val="75"/>
        <c:spPr>
          <a:solidFill>
            <a:srgbClr val="084C2C"/>
          </a:solidFill>
          <a:ln>
            <a:noFill/>
          </a:ln>
          <a:effectLst/>
        </c:spPr>
      </c:pivotFmt>
      <c:pivotFmt>
        <c:idx val="76"/>
        <c:spPr>
          <a:solidFill>
            <a:srgbClr val="084C2C"/>
          </a:solidFill>
          <a:ln>
            <a:noFill/>
          </a:ln>
          <a:effectLst/>
        </c:spPr>
      </c:pivotFmt>
      <c:pivotFmt>
        <c:idx val="77"/>
        <c:spPr>
          <a:solidFill>
            <a:srgbClr val="084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8"/>
        <c:spPr>
          <a:solidFill>
            <a:srgbClr val="084C2C"/>
          </a:solidFill>
          <a:ln>
            <a:noFill/>
          </a:ln>
          <a:effectLst/>
        </c:spPr>
      </c:pivotFmt>
      <c:pivotFmt>
        <c:idx val="79"/>
        <c:spPr>
          <a:solidFill>
            <a:srgbClr val="084C2C"/>
          </a:solidFill>
          <a:ln>
            <a:noFill/>
          </a:ln>
          <a:effectLst/>
        </c:spPr>
      </c:pivotFmt>
      <c:pivotFmt>
        <c:idx val="80"/>
        <c:spPr>
          <a:solidFill>
            <a:srgbClr val="084C2C"/>
          </a:solidFill>
          <a:ln>
            <a:noFill/>
          </a:ln>
          <a:effectLst/>
        </c:spPr>
      </c:pivotFmt>
      <c:pivotFmt>
        <c:idx val="81"/>
        <c:spPr>
          <a:solidFill>
            <a:srgbClr val="084C2C"/>
          </a:solidFill>
          <a:ln>
            <a:noFill/>
          </a:ln>
          <a:effectLst/>
        </c:spPr>
      </c:pivotFmt>
    </c:pivotFmts>
    <c:plotArea>
      <c:layout>
        <c:manualLayout>
          <c:layoutTarget val="inner"/>
          <c:xMode val="edge"/>
          <c:yMode val="edge"/>
          <c:x val="0.11434760536374612"/>
          <c:y val="0.14147667883554615"/>
          <c:w val="0.61066835371318773"/>
          <c:h val="0.76031729269631587"/>
        </c:manualLayout>
      </c:layout>
      <c:barChart>
        <c:barDir val="col"/>
        <c:grouping val="clustered"/>
        <c:varyColors val="0"/>
        <c:ser>
          <c:idx val="0"/>
          <c:order val="0"/>
          <c:tx>
            <c:strRef>
              <c:f>'Sales by Product category'!$B$3</c:f>
              <c:strCache>
                <c:ptCount val="1"/>
                <c:pt idx="0">
                  <c:v>Total</c:v>
                </c:pt>
              </c:strCache>
            </c:strRef>
          </c:tx>
          <c:spPr>
            <a:solidFill>
              <a:srgbClr val="084C2C"/>
            </a:solidFill>
            <a:ln>
              <a:noFill/>
            </a:ln>
            <a:effectLst/>
          </c:spPr>
          <c:invertIfNegative val="0"/>
          <c:dPt>
            <c:idx val="1"/>
            <c:invertIfNegative val="0"/>
            <c:bubble3D val="0"/>
            <c:spPr>
              <a:solidFill>
                <a:srgbClr val="084C2C"/>
              </a:solidFill>
              <a:ln>
                <a:noFill/>
              </a:ln>
              <a:effectLst/>
            </c:spPr>
            <c:extLst>
              <c:ext xmlns:c16="http://schemas.microsoft.com/office/drawing/2014/chart" uri="{C3380CC4-5D6E-409C-BE32-E72D297353CC}">
                <c16:uniqueId val="{00000001-8848-4AD3-9E05-3C3151D8ED89}"/>
              </c:ext>
            </c:extLst>
          </c:dPt>
          <c:dPt>
            <c:idx val="2"/>
            <c:invertIfNegative val="0"/>
            <c:bubble3D val="0"/>
            <c:spPr>
              <a:solidFill>
                <a:srgbClr val="084C2C"/>
              </a:solidFill>
              <a:ln>
                <a:noFill/>
              </a:ln>
              <a:effectLst/>
            </c:spPr>
            <c:extLst>
              <c:ext xmlns:c16="http://schemas.microsoft.com/office/drawing/2014/chart" uri="{C3380CC4-5D6E-409C-BE32-E72D297353CC}">
                <c16:uniqueId val="{00000003-8848-4AD3-9E05-3C3151D8ED89}"/>
              </c:ext>
            </c:extLst>
          </c:dPt>
          <c:dPt>
            <c:idx val="3"/>
            <c:invertIfNegative val="0"/>
            <c:bubble3D val="0"/>
            <c:spPr>
              <a:solidFill>
                <a:srgbClr val="084C2C"/>
              </a:solidFill>
              <a:ln>
                <a:noFill/>
              </a:ln>
              <a:effectLst/>
            </c:spPr>
            <c:extLst>
              <c:ext xmlns:c16="http://schemas.microsoft.com/office/drawing/2014/chart" uri="{C3380CC4-5D6E-409C-BE32-E72D297353CC}">
                <c16:uniqueId val="{00000005-8848-4AD3-9E05-3C3151D8ED89}"/>
              </c:ext>
            </c:extLst>
          </c:dPt>
          <c:dPt>
            <c:idx val="4"/>
            <c:invertIfNegative val="0"/>
            <c:bubble3D val="0"/>
            <c:spPr>
              <a:solidFill>
                <a:srgbClr val="084C2C"/>
              </a:solidFill>
              <a:ln>
                <a:noFill/>
              </a:ln>
              <a:effectLst/>
            </c:spPr>
            <c:extLst>
              <c:ext xmlns:c16="http://schemas.microsoft.com/office/drawing/2014/chart" uri="{C3380CC4-5D6E-409C-BE32-E72D297353CC}">
                <c16:uniqueId val="{00000007-8848-4AD3-9E05-3C3151D8ED8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Product category'!$A$4:$A$9</c:f>
              <c:strCache>
                <c:ptCount val="5"/>
                <c:pt idx="0">
                  <c:v>Beverages</c:v>
                </c:pt>
                <c:pt idx="1">
                  <c:v>Sauces</c:v>
                </c:pt>
                <c:pt idx="2">
                  <c:v>Jams, Preserves</c:v>
                </c:pt>
                <c:pt idx="3">
                  <c:v>Dairy Products</c:v>
                </c:pt>
                <c:pt idx="4">
                  <c:v>Dried Fruit &amp; Nuts</c:v>
                </c:pt>
              </c:strCache>
            </c:strRef>
          </c:cat>
          <c:val>
            <c:numRef>
              <c:f>'Sales by Product category'!$B$4:$B$9</c:f>
              <c:numCache>
                <c:formatCode>"$"#,##0.00</c:formatCode>
                <c:ptCount val="5"/>
                <c:pt idx="0">
                  <c:v>110577.10999999999</c:v>
                </c:pt>
                <c:pt idx="1">
                  <c:v>69000</c:v>
                </c:pt>
                <c:pt idx="2">
                  <c:v>51541</c:v>
                </c:pt>
                <c:pt idx="3">
                  <c:v>33129.600000000006</c:v>
                </c:pt>
                <c:pt idx="4">
                  <c:v>27999.5</c:v>
                </c:pt>
              </c:numCache>
            </c:numRef>
          </c:val>
          <c:extLst>
            <c:ext xmlns:c16="http://schemas.microsoft.com/office/drawing/2014/chart" uri="{C3380CC4-5D6E-409C-BE32-E72D297353CC}">
              <c16:uniqueId val="{00000008-8848-4AD3-9E05-3C3151D8ED89}"/>
            </c:ext>
          </c:extLst>
        </c:ser>
        <c:dLbls>
          <c:showLegendKey val="0"/>
          <c:showVal val="0"/>
          <c:showCatName val="0"/>
          <c:showSerName val="0"/>
          <c:showPercent val="0"/>
          <c:showBubbleSize val="0"/>
        </c:dLbls>
        <c:gapWidth val="41"/>
        <c:axId val="551141888"/>
        <c:axId val="551135408"/>
      </c:barChart>
      <c:catAx>
        <c:axId val="5511418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NG"/>
          </a:p>
        </c:txPr>
        <c:crossAx val="551135408"/>
        <c:crosses val="autoZero"/>
        <c:auto val="1"/>
        <c:lblAlgn val="ctr"/>
        <c:lblOffset val="100"/>
        <c:noMultiLvlLbl val="0"/>
      </c:catAx>
      <c:valAx>
        <c:axId val="551135408"/>
        <c:scaling>
          <c:orientation val="minMax"/>
        </c:scaling>
        <c:delete val="0"/>
        <c:axPos val="l"/>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NG"/>
          </a:p>
        </c:txPr>
        <c:crossAx val="551141888"/>
        <c:crosses val="autoZero"/>
        <c:crossBetween val="between"/>
      </c:valAx>
      <c:spPr>
        <a:noFill/>
        <a:ln>
          <a:noFill/>
        </a:ln>
        <a:effectLst/>
      </c:spPr>
    </c:plotArea>
    <c:legend>
      <c:legendPos val="r"/>
      <c:layout>
        <c:manualLayout>
          <c:xMode val="edge"/>
          <c:yMode val="edge"/>
          <c:x val="0.74343228182701138"/>
          <c:y val="0.1277353851540059"/>
          <c:w val="0.23340595279660586"/>
          <c:h val="0.45683179897674198"/>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38100" dir="2700000" algn="tl" rotWithShape="0">
        <a:srgbClr val="084C2C">
          <a:alpha val="40000"/>
        </a:srgb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Process.xlsx]Sales Trend!PivotTable1</c:name>
    <c:fmtId val="41"/>
  </c:pivotSource>
  <c:chart>
    <c:title>
      <c:tx>
        <c:rich>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r>
              <a:rPr lang="en-US" sz="1400" b="1">
                <a:solidFill>
                  <a:srgbClr val="084C2C"/>
                </a:solidFill>
                <a:latin typeface="Arial Narrow" panose="020B0606020202030204" pitchFamily="34" charset="0"/>
              </a:rPr>
              <a:t>Sales</a:t>
            </a:r>
            <a:r>
              <a:rPr lang="en-US" sz="1400" b="1" baseline="0">
                <a:solidFill>
                  <a:srgbClr val="084C2C"/>
                </a:solidFill>
                <a:latin typeface="Arial Narrow" panose="020B0606020202030204" pitchFamily="34" charset="0"/>
              </a:rPr>
              <a:t> Trend Report </a:t>
            </a:r>
            <a:r>
              <a:rPr lang="en-US" sz="1200" b="0" i="1" baseline="0">
                <a:solidFill>
                  <a:srgbClr val="084C2C"/>
                </a:solidFill>
                <a:latin typeface="Arial Narrow" panose="020B0606020202030204" pitchFamily="34" charset="0"/>
              </a:rPr>
              <a:t>for the Year</a:t>
            </a:r>
            <a:endParaRPr lang="en-US" sz="1200" b="0" i="1">
              <a:solidFill>
                <a:srgbClr val="084C2C"/>
              </a:solidFill>
              <a:latin typeface="Arial Narrow" panose="020B0606020202030204" pitchFamily="34" charset="0"/>
            </a:endParaRPr>
          </a:p>
        </c:rich>
      </c:tx>
      <c:layout>
        <c:manualLayout>
          <c:xMode val="edge"/>
          <c:yMode val="edge"/>
          <c:x val="2.2072084044458755E-2"/>
          <c:y val="3.7519474265643143E-2"/>
        </c:manualLayout>
      </c:layout>
      <c:overlay val="0"/>
      <c:spPr>
        <a:noFill/>
        <a:ln>
          <a:noFill/>
        </a:ln>
        <a:effectLst/>
      </c:spPr>
      <c:txPr>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5400"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rgbClr val="084C2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solidFill>
              <a:srgbClr val="084C2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cap="rnd">
            <a:solidFill>
              <a:srgbClr val="084C2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cap="rnd">
            <a:solidFill>
              <a:srgbClr val="084C2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5400" cap="rnd">
            <a:solidFill>
              <a:srgbClr val="084C2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Trend'!$B$3</c:f>
              <c:strCache>
                <c:ptCount val="1"/>
                <c:pt idx="0">
                  <c:v>Total</c:v>
                </c:pt>
              </c:strCache>
            </c:strRef>
          </c:tx>
          <c:spPr>
            <a:ln w="25400" cap="rnd">
              <a:solidFill>
                <a:srgbClr val="084C2C"/>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Trend'!$B$4:$B$16</c:f>
              <c:numCache>
                <c:formatCode>"$"#,##0.00</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0-78E0-40A7-8DD9-7698ECFDB394}"/>
            </c:ext>
          </c:extLst>
        </c:ser>
        <c:dLbls>
          <c:dLblPos val="t"/>
          <c:showLegendKey val="0"/>
          <c:showVal val="1"/>
          <c:showCatName val="0"/>
          <c:showSerName val="0"/>
          <c:showPercent val="0"/>
          <c:showBubbleSize val="0"/>
        </c:dLbls>
        <c:smooth val="0"/>
        <c:axId val="512723872"/>
        <c:axId val="512724232"/>
      </c:lineChart>
      <c:catAx>
        <c:axId val="512723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crossAx val="512724232"/>
        <c:crosses val="autoZero"/>
        <c:auto val="1"/>
        <c:lblAlgn val="ctr"/>
        <c:lblOffset val="100"/>
        <c:noMultiLvlLbl val="0"/>
      </c:catAx>
      <c:valAx>
        <c:axId val="512724232"/>
        <c:scaling>
          <c:orientation val="minMax"/>
        </c:scaling>
        <c:delete val="1"/>
        <c:axPos val="l"/>
        <c:numFmt formatCode="&quot;$&quot;#,##0.00" sourceLinked="1"/>
        <c:majorTickMark val="none"/>
        <c:minorTickMark val="none"/>
        <c:tickLblPos val="nextTo"/>
        <c:crossAx val="512723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38100" dir="2700000" algn="tl" rotWithShape="0">
        <a:srgbClr val="084C2C">
          <a:alpha val="40000"/>
        </a:srgb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Process.xlsx]Top 10 Customers!PivotTable1</c:name>
    <c:fmtId val="11"/>
  </c:pivotSource>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en-US" sz="1400" b="1">
                <a:solidFill>
                  <a:srgbClr val="084C2C"/>
                </a:solidFill>
                <a:latin typeface="Arial Narrow" panose="020B0606020202030204" pitchFamily="34" charset="0"/>
              </a:rPr>
              <a:t>Top</a:t>
            </a:r>
            <a:r>
              <a:rPr lang="en-US" sz="1400" b="1" baseline="0">
                <a:solidFill>
                  <a:srgbClr val="084C2C"/>
                </a:solidFill>
                <a:latin typeface="Arial Narrow" panose="020B0606020202030204" pitchFamily="34" charset="0"/>
              </a:rPr>
              <a:t> Customers </a:t>
            </a:r>
            <a:r>
              <a:rPr lang="en-US" sz="1200" b="0" i="1" baseline="0">
                <a:solidFill>
                  <a:srgbClr val="084C2C"/>
                </a:solidFill>
                <a:latin typeface="Arial Narrow" panose="020B0606020202030204" pitchFamily="34" charset="0"/>
              </a:rPr>
              <a:t>by Revenue</a:t>
            </a:r>
            <a:endParaRPr lang="en-US" sz="1200" b="0" i="1">
              <a:solidFill>
                <a:srgbClr val="084C2C"/>
              </a:solidFill>
              <a:latin typeface="Arial Narrow" panose="020B0606020202030204" pitchFamily="34" charset="0"/>
            </a:endParaRPr>
          </a:p>
        </c:rich>
      </c:tx>
      <c:layout>
        <c:manualLayout>
          <c:xMode val="edge"/>
          <c:yMode val="edge"/>
          <c:x val="2.0358719931483957E-2"/>
          <c:y val="5.7742164823357728E-2"/>
        </c:manualLayout>
      </c:layout>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8575" cap="rnd">
            <a:solidFill>
              <a:srgbClr val="084C2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84C2C"/>
            </a:solidFill>
            <a:round/>
          </a:ln>
          <a:effectLst/>
        </c:spPr>
        <c:marker>
          <c:symbol val="none"/>
        </c:marker>
        <c:dLbl>
          <c:idx val="0"/>
          <c:layout>
            <c:manualLayout>
              <c:x val="2.4860477908431227E-3"/>
              <c:y val="7.29141820432777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84C2C"/>
            </a:solidFill>
            <a:round/>
          </a:ln>
          <a:effectLst/>
        </c:spPr>
        <c:marker>
          <c:symbol val="none"/>
        </c:marker>
        <c:dLbl>
          <c:idx val="0"/>
          <c:layout>
            <c:manualLayout>
              <c:x val="8.9497720470352413E-2"/>
              <c:y val="3.589217200207100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84C2C"/>
            </a:solidFill>
            <a:round/>
          </a:ln>
          <a:effectLst/>
        </c:spPr>
        <c:marker>
          <c:symbol val="none"/>
        </c:marker>
        <c:dLbl>
          <c:idx val="0"/>
          <c:layout>
            <c:manualLayout>
              <c:x val="0.10441400721541105"/>
              <c:y val="3.23029548018639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84C2C"/>
            </a:solidFill>
            <a:round/>
          </a:ln>
          <a:effectLst/>
        </c:spPr>
        <c:marker>
          <c:symbol val="none"/>
        </c:marker>
        <c:dLbl>
          <c:idx val="0"/>
          <c:layout>
            <c:manualLayout>
              <c:x val="0.11933029396046989"/>
              <c:y val="8.25519956047631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84C2C"/>
            </a:solidFill>
            <a:round/>
          </a:ln>
          <a:effectLst/>
        </c:spPr>
        <c:marker>
          <c:symbol val="none"/>
        </c:marker>
        <c:dLbl>
          <c:idx val="0"/>
          <c:layout>
            <c:manualLayout>
              <c:x val="0.10441400721541115"/>
              <c:y val="0.150747122408698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084C2C"/>
            </a:solidFill>
            <a:round/>
          </a:ln>
          <a:effectLst/>
        </c:spPr>
        <c:marker>
          <c:symbol val="none"/>
        </c:marker>
        <c:dLbl>
          <c:idx val="0"/>
          <c:layout>
            <c:manualLayout>
              <c:x val="0"/>
              <c:y val="0.106056992062949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084C2C"/>
            </a:solidFill>
            <a:round/>
          </a:ln>
          <a:effectLst/>
        </c:spPr>
        <c:marker>
          <c:symbol val="none"/>
        </c:marker>
        <c:dLbl>
          <c:idx val="0"/>
          <c:layout>
            <c:manualLayout>
              <c:x val="-0.12181634175131301"/>
              <c:y val="0.178971174106227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084C2C"/>
            </a:solidFill>
            <a:round/>
          </a:ln>
          <a:effectLst/>
        </c:spPr>
        <c:marker>
          <c:symbol val="none"/>
        </c:marker>
        <c:dLbl>
          <c:idx val="0"/>
          <c:layout>
            <c:manualLayout>
              <c:x val="-0.17402334535901859"/>
              <c:y val="0.112685554066883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084C2C"/>
            </a:solidFill>
            <a:round/>
          </a:ln>
          <a:effectLst/>
        </c:spPr>
        <c:marker>
          <c:symbol val="none"/>
        </c:marker>
        <c:dLbl>
          <c:idx val="0"/>
          <c:layout>
            <c:manualLayout>
              <c:x val="-0.17650939314986169"/>
              <c:y val="-1.3532183234331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084C2C"/>
            </a:solidFill>
            <a:round/>
          </a:ln>
          <a:effectLst/>
        </c:spPr>
        <c:marker>
          <c:symbol val="none"/>
        </c:marker>
        <c:dLbl>
          <c:idx val="0"/>
          <c:layout>
            <c:manualLayout>
              <c:x val="-0.14170472407805798"/>
              <c:y val="-0.123423041612233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084C2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084C2C"/>
            </a:solidFill>
            <a:round/>
          </a:ln>
          <a:effectLst/>
        </c:spPr>
        <c:marker>
          <c:symbol val="none"/>
        </c:marker>
      </c:pivotFmt>
      <c:pivotFmt>
        <c:idx val="13"/>
        <c:spPr>
          <a:solidFill>
            <a:schemeClr val="accent1"/>
          </a:solidFill>
          <a:ln w="28575" cap="rnd">
            <a:solidFill>
              <a:srgbClr val="084C2C"/>
            </a:solidFill>
            <a:round/>
          </a:ln>
          <a:effectLst/>
        </c:spPr>
        <c:marker>
          <c:symbol val="none"/>
        </c:marker>
        <c:dLbl>
          <c:idx val="0"/>
          <c:layout>
            <c:manualLayout>
              <c:x val="8.9497720470352413E-2"/>
              <c:y val="3.589217200207100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rgbClr val="084C2C"/>
            </a:solidFill>
            <a:round/>
          </a:ln>
          <a:effectLst/>
        </c:spPr>
        <c:marker>
          <c:symbol val="none"/>
        </c:marker>
        <c:dLbl>
          <c:idx val="0"/>
          <c:layout>
            <c:manualLayout>
              <c:x val="0.10441400721541105"/>
              <c:y val="3.23029548018639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rgbClr val="084C2C"/>
            </a:solidFill>
            <a:round/>
          </a:ln>
          <a:effectLst/>
        </c:spPr>
        <c:marker>
          <c:symbol val="none"/>
        </c:marker>
        <c:dLbl>
          <c:idx val="0"/>
          <c:layout>
            <c:manualLayout>
              <c:x val="0.11933029396046989"/>
              <c:y val="8.25519956047631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rgbClr val="084C2C"/>
            </a:solidFill>
            <a:round/>
          </a:ln>
          <a:effectLst/>
        </c:spPr>
        <c:marker>
          <c:symbol val="none"/>
        </c:marker>
        <c:dLbl>
          <c:idx val="0"/>
          <c:layout>
            <c:manualLayout>
              <c:x val="0.10441400721541115"/>
              <c:y val="0.150747122408698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rgbClr val="084C2C"/>
            </a:solidFill>
            <a:round/>
          </a:ln>
          <a:effectLst/>
        </c:spPr>
        <c:marker>
          <c:symbol val="none"/>
        </c:marker>
        <c:dLbl>
          <c:idx val="0"/>
          <c:layout>
            <c:manualLayout>
              <c:x val="0"/>
              <c:y val="0.106056992062949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rgbClr val="084C2C"/>
            </a:solidFill>
            <a:round/>
          </a:ln>
          <a:effectLst/>
        </c:spPr>
        <c:marker>
          <c:symbol val="none"/>
        </c:marker>
        <c:dLbl>
          <c:idx val="0"/>
          <c:layout>
            <c:manualLayout>
              <c:x val="-0.12181634175131301"/>
              <c:y val="0.178971174106227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rgbClr val="084C2C"/>
            </a:solidFill>
            <a:round/>
          </a:ln>
          <a:effectLst/>
        </c:spPr>
        <c:marker>
          <c:symbol val="none"/>
        </c:marker>
        <c:dLbl>
          <c:idx val="0"/>
          <c:layout>
            <c:manualLayout>
              <c:x val="-0.17402334535901859"/>
              <c:y val="0.112685554066883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rgbClr val="084C2C"/>
            </a:solidFill>
            <a:round/>
          </a:ln>
          <a:effectLst/>
        </c:spPr>
        <c:marker>
          <c:symbol val="none"/>
        </c:marker>
        <c:dLbl>
          <c:idx val="0"/>
          <c:layout>
            <c:manualLayout>
              <c:x val="-0.17650939314986169"/>
              <c:y val="-1.3532183234331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rgbClr val="084C2C"/>
            </a:solidFill>
            <a:round/>
          </a:ln>
          <a:effectLst/>
        </c:spPr>
        <c:marker>
          <c:symbol val="none"/>
        </c:marker>
        <c:dLbl>
          <c:idx val="0"/>
          <c:layout>
            <c:manualLayout>
              <c:x val="-0.14170472407805798"/>
              <c:y val="-0.12342304161223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rgbClr val="084C2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rgbClr val="084C2C"/>
            </a:solidFill>
            <a:round/>
          </a:ln>
          <a:effectLst/>
        </c:spPr>
        <c:marker>
          <c:symbol val="none"/>
        </c:marker>
        <c:dLbl>
          <c:idx val="0"/>
          <c:layout>
            <c:manualLayout>
              <c:x val="0"/>
              <c:y val="-3.9990805728245163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rgbClr val="084C2C"/>
            </a:solidFill>
            <a:round/>
          </a:ln>
          <a:effectLst/>
        </c:spPr>
        <c:marker>
          <c:symbol val="none"/>
        </c:marker>
        <c:dLbl>
          <c:idx val="0"/>
          <c:layout>
            <c:manualLayout>
              <c:x val="0.10744638527696486"/>
              <c:y val="2.6218641920533612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rgbClr val="084C2C"/>
            </a:solidFill>
            <a:round/>
          </a:ln>
          <a:effectLst/>
        </c:spPr>
        <c:marker>
          <c:symbol val="none"/>
        </c:marker>
        <c:dLbl>
          <c:idx val="0"/>
          <c:layout>
            <c:manualLayout>
              <c:x val="0.15988808198182092"/>
              <c:y val="3.2416935278385087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rgbClr val="084C2C"/>
            </a:solidFill>
            <a:round/>
          </a:ln>
          <a:effectLst/>
        </c:spPr>
        <c:marker>
          <c:symbol val="none"/>
        </c:marker>
        <c:dLbl>
          <c:idx val="0"/>
          <c:layout>
            <c:manualLayout>
              <c:x val="0.15522777556755749"/>
              <c:y val="7.8026225056528647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rgbClr val="084C2C"/>
            </a:solidFill>
            <a:round/>
          </a:ln>
          <a:effectLst/>
        </c:spPr>
        <c:marker>
          <c:symbol val="none"/>
        </c:marker>
        <c:dLbl>
          <c:idx val="0"/>
          <c:layout>
            <c:manualLayout>
              <c:x val="0.14852562603213942"/>
              <c:y val="0.11459733187935547"/>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rgbClr val="084C2C"/>
            </a:solidFill>
            <a:round/>
          </a:ln>
          <a:effectLst/>
        </c:spPr>
        <c:marker>
          <c:symbol val="none"/>
        </c:marker>
        <c:dLbl>
          <c:idx val="0"/>
          <c:layout>
            <c:manualLayout>
              <c:x val="0"/>
              <c:y val="0.17394493058859375"/>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rgbClr val="084C2C"/>
            </a:solidFill>
            <a:round/>
          </a:ln>
          <a:effectLst/>
        </c:spPr>
        <c:marker>
          <c:symbol val="none"/>
        </c:marker>
        <c:dLbl>
          <c:idx val="0"/>
          <c:layout>
            <c:manualLayout>
              <c:x val="-0.14873938534833583"/>
              <c:y val="0.1472900953103867"/>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rgbClr val="084C2C"/>
            </a:solidFill>
            <a:round/>
          </a:ln>
          <a:effectLst/>
        </c:spPr>
        <c:marker>
          <c:symbol val="none"/>
        </c:marker>
        <c:dLbl>
          <c:idx val="0"/>
          <c:layout>
            <c:manualLayout>
              <c:x val="-0.17851058161613351"/>
              <c:y val="8.100438509743968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rgbClr val="084C2C"/>
            </a:solidFill>
            <a:round/>
          </a:ln>
          <a:effectLst/>
        </c:spPr>
        <c:marker>
          <c:symbol val="none"/>
        </c:marker>
        <c:dLbl>
          <c:idx val="0"/>
          <c:layout>
            <c:manualLayout>
              <c:x val="-0.19445808656792987"/>
              <c:y val="2.7200433342420696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rgbClr val="084C2C"/>
            </a:solidFill>
            <a:round/>
          </a:ln>
          <a:effectLst/>
        </c:spPr>
        <c:marker>
          <c:symbol val="none"/>
        </c:marker>
        <c:dLbl>
          <c:idx val="0"/>
          <c:layout>
            <c:manualLayout>
              <c:x val="-0.21378864185456875"/>
              <c:y val="-5.0894926935830795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rgbClr val="084C2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rgbClr val="084C2C"/>
            </a:solidFill>
            <a:round/>
          </a:ln>
          <a:effectLst/>
        </c:spPr>
        <c:marker>
          <c:symbol val="none"/>
        </c:marker>
        <c:dLbl>
          <c:idx val="0"/>
          <c:layout>
            <c:manualLayout>
              <c:x val="0"/>
              <c:y val="-3.9990805728245163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rgbClr val="084C2C"/>
            </a:solidFill>
            <a:round/>
          </a:ln>
          <a:effectLst/>
        </c:spPr>
        <c:marker>
          <c:symbol val="none"/>
        </c:marker>
        <c:dLbl>
          <c:idx val="0"/>
          <c:layout>
            <c:manualLayout>
              <c:x val="0.10744638527696486"/>
              <c:y val="2.6218641920533612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rgbClr val="084C2C"/>
            </a:solidFill>
            <a:round/>
          </a:ln>
          <a:effectLst/>
        </c:spPr>
        <c:marker>
          <c:symbol val="none"/>
        </c:marker>
        <c:dLbl>
          <c:idx val="0"/>
          <c:layout>
            <c:manualLayout>
              <c:x val="0.15988808198182092"/>
              <c:y val="3.2416935278385087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rgbClr val="084C2C"/>
            </a:solidFill>
            <a:round/>
          </a:ln>
          <a:effectLst/>
        </c:spPr>
        <c:marker>
          <c:symbol val="none"/>
        </c:marker>
        <c:dLbl>
          <c:idx val="0"/>
          <c:layout>
            <c:manualLayout>
              <c:x val="0.15522777556755749"/>
              <c:y val="7.8026225056528647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rgbClr val="084C2C"/>
            </a:solidFill>
            <a:round/>
          </a:ln>
          <a:effectLst/>
        </c:spPr>
        <c:marker>
          <c:symbol val="none"/>
        </c:marker>
        <c:dLbl>
          <c:idx val="0"/>
          <c:layout>
            <c:manualLayout>
              <c:x val="0.14852562603213942"/>
              <c:y val="0.11459733187935547"/>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rgbClr val="084C2C"/>
            </a:solidFill>
            <a:round/>
          </a:ln>
          <a:effectLst/>
        </c:spPr>
        <c:marker>
          <c:symbol val="none"/>
        </c:marker>
        <c:dLbl>
          <c:idx val="0"/>
          <c:layout>
            <c:manualLayout>
              <c:x val="0"/>
              <c:y val="0.17394493058859375"/>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rgbClr val="084C2C"/>
            </a:solidFill>
            <a:round/>
          </a:ln>
          <a:effectLst/>
        </c:spPr>
        <c:marker>
          <c:symbol val="none"/>
        </c:marker>
        <c:dLbl>
          <c:idx val="0"/>
          <c:layout>
            <c:manualLayout>
              <c:x val="-0.14873938534833583"/>
              <c:y val="0.1472900953103867"/>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rgbClr val="084C2C"/>
            </a:solidFill>
            <a:round/>
          </a:ln>
          <a:effectLst/>
        </c:spPr>
        <c:marker>
          <c:symbol val="none"/>
        </c:marker>
        <c:dLbl>
          <c:idx val="0"/>
          <c:layout>
            <c:manualLayout>
              <c:x val="-0.17851058161613351"/>
              <c:y val="8.100438509743968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rgbClr val="084C2C"/>
            </a:solidFill>
            <a:round/>
          </a:ln>
          <a:effectLst/>
        </c:spPr>
        <c:marker>
          <c:symbol val="none"/>
        </c:marker>
        <c:dLbl>
          <c:idx val="0"/>
          <c:layout>
            <c:manualLayout>
              <c:x val="-0.19445808656792987"/>
              <c:y val="2.7200433342420696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rgbClr val="084C2C"/>
            </a:solidFill>
            <a:round/>
          </a:ln>
          <a:effectLst/>
        </c:spPr>
        <c:marker>
          <c:symbol val="none"/>
        </c:marker>
        <c:dLbl>
          <c:idx val="0"/>
          <c:layout>
            <c:manualLayout>
              <c:x val="-0.21378864185456875"/>
              <c:y val="-5.0894926935830795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4"/>
        <c:spPr>
          <a:ln w="28575" cap="rnd">
            <a:solidFill>
              <a:srgbClr val="084C2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5"/>
        <c:spPr>
          <a:ln w="28575" cap="rnd">
            <a:solidFill>
              <a:srgbClr val="084C2C"/>
            </a:solidFill>
            <a:round/>
          </a:ln>
          <a:effectLst/>
        </c:spPr>
        <c:marker>
          <c:symbol val="none"/>
        </c:marker>
        <c:dLbl>
          <c:idx val="0"/>
          <c:layout>
            <c:manualLayout>
              <c:x val="0"/>
              <c:y val="-3.9990805728245163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6"/>
        <c:spPr>
          <a:ln w="28575" cap="rnd">
            <a:solidFill>
              <a:srgbClr val="084C2C"/>
            </a:solidFill>
            <a:round/>
          </a:ln>
          <a:effectLst/>
        </c:spPr>
        <c:marker>
          <c:symbol val="none"/>
        </c:marker>
        <c:dLbl>
          <c:idx val="0"/>
          <c:layout>
            <c:manualLayout>
              <c:x val="0.10744638527696486"/>
              <c:y val="2.6218641920533612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7"/>
        <c:spPr>
          <a:ln w="28575" cap="rnd">
            <a:solidFill>
              <a:srgbClr val="084C2C"/>
            </a:solidFill>
            <a:round/>
          </a:ln>
          <a:effectLst/>
        </c:spPr>
        <c:marker>
          <c:symbol val="none"/>
        </c:marker>
        <c:dLbl>
          <c:idx val="0"/>
          <c:layout>
            <c:manualLayout>
              <c:x val="0.15988808198182092"/>
              <c:y val="3.2416935278385087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8"/>
        <c:spPr>
          <a:ln w="28575" cap="rnd">
            <a:solidFill>
              <a:srgbClr val="084C2C"/>
            </a:solidFill>
            <a:round/>
          </a:ln>
          <a:effectLst/>
        </c:spPr>
        <c:marker>
          <c:symbol val="none"/>
        </c:marker>
        <c:dLbl>
          <c:idx val="0"/>
          <c:layout>
            <c:manualLayout>
              <c:x val="0.15522777556755749"/>
              <c:y val="7.8026225056528647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9"/>
        <c:spPr>
          <a:ln w="28575" cap="rnd">
            <a:solidFill>
              <a:srgbClr val="084C2C"/>
            </a:solidFill>
            <a:round/>
          </a:ln>
          <a:effectLst/>
        </c:spPr>
        <c:marker>
          <c:symbol val="none"/>
        </c:marker>
        <c:dLbl>
          <c:idx val="0"/>
          <c:layout>
            <c:manualLayout>
              <c:x val="0.14852562603213942"/>
              <c:y val="0.11459733187935547"/>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0"/>
        <c:spPr>
          <a:ln w="28575" cap="rnd">
            <a:solidFill>
              <a:srgbClr val="084C2C"/>
            </a:solidFill>
            <a:round/>
          </a:ln>
          <a:effectLst/>
        </c:spPr>
        <c:marker>
          <c:symbol val="none"/>
        </c:marker>
        <c:dLbl>
          <c:idx val="0"/>
          <c:layout>
            <c:manualLayout>
              <c:x val="0"/>
              <c:y val="0.17394493058859375"/>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1"/>
        <c:spPr>
          <a:ln w="28575" cap="rnd">
            <a:solidFill>
              <a:srgbClr val="084C2C"/>
            </a:solidFill>
            <a:round/>
          </a:ln>
          <a:effectLst/>
        </c:spPr>
        <c:marker>
          <c:symbol val="none"/>
        </c:marker>
        <c:dLbl>
          <c:idx val="0"/>
          <c:layout>
            <c:manualLayout>
              <c:x val="-0.14873938534833583"/>
              <c:y val="0.1472900953103867"/>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2"/>
        <c:spPr>
          <a:ln w="28575" cap="rnd">
            <a:solidFill>
              <a:srgbClr val="084C2C"/>
            </a:solidFill>
            <a:round/>
          </a:ln>
          <a:effectLst/>
        </c:spPr>
        <c:marker>
          <c:symbol val="none"/>
        </c:marker>
        <c:dLbl>
          <c:idx val="0"/>
          <c:layout>
            <c:manualLayout>
              <c:x val="-0.17851058161613351"/>
              <c:y val="8.100438509743968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3"/>
        <c:spPr>
          <a:ln w="28575" cap="rnd">
            <a:solidFill>
              <a:srgbClr val="084C2C"/>
            </a:solidFill>
            <a:round/>
          </a:ln>
          <a:effectLst/>
        </c:spPr>
        <c:marker>
          <c:symbol val="none"/>
        </c:marker>
        <c:dLbl>
          <c:idx val="0"/>
          <c:layout>
            <c:manualLayout>
              <c:x val="-0.19445808656792987"/>
              <c:y val="2.7200433342420696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4"/>
        <c:spPr>
          <a:ln w="28575" cap="rnd">
            <a:solidFill>
              <a:srgbClr val="084C2C"/>
            </a:solidFill>
            <a:round/>
          </a:ln>
          <a:effectLst/>
        </c:spPr>
        <c:marker>
          <c:symbol val="none"/>
        </c:marker>
        <c:dLbl>
          <c:idx val="0"/>
          <c:layout>
            <c:manualLayout>
              <c:x val="-0.21378864185456875"/>
              <c:y val="-5.0894926935830795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'Top 10 Customers'!$B$3</c:f>
              <c:strCache>
                <c:ptCount val="1"/>
                <c:pt idx="0">
                  <c:v>Total</c:v>
                </c:pt>
              </c:strCache>
            </c:strRef>
          </c:tx>
          <c:spPr>
            <a:ln w="28575" cap="rnd">
              <a:solidFill>
                <a:srgbClr val="084C2C"/>
              </a:solidFill>
              <a:round/>
            </a:ln>
            <a:effectLst/>
          </c:spPr>
          <c:marker>
            <c:symbol val="none"/>
          </c:marker>
          <c:dPt>
            <c:idx val="0"/>
            <c:marker>
              <c:symbol val="none"/>
            </c:marker>
            <c:bubble3D val="0"/>
            <c:spPr>
              <a:ln w="28575" cap="rnd">
                <a:solidFill>
                  <a:srgbClr val="084C2C"/>
                </a:solidFill>
                <a:round/>
              </a:ln>
              <a:effectLst/>
            </c:spPr>
            <c:extLst>
              <c:ext xmlns:c16="http://schemas.microsoft.com/office/drawing/2014/chart" uri="{C3380CC4-5D6E-409C-BE32-E72D297353CC}">
                <c16:uniqueId val="{00000001-EC8C-4F9D-8EBB-27E168116E09}"/>
              </c:ext>
            </c:extLst>
          </c:dPt>
          <c:dPt>
            <c:idx val="1"/>
            <c:marker>
              <c:symbol val="none"/>
            </c:marker>
            <c:bubble3D val="0"/>
            <c:spPr>
              <a:ln w="28575" cap="rnd">
                <a:solidFill>
                  <a:srgbClr val="084C2C"/>
                </a:solidFill>
                <a:round/>
              </a:ln>
              <a:effectLst/>
            </c:spPr>
            <c:extLst>
              <c:ext xmlns:c16="http://schemas.microsoft.com/office/drawing/2014/chart" uri="{C3380CC4-5D6E-409C-BE32-E72D297353CC}">
                <c16:uniqueId val="{00000003-EC8C-4F9D-8EBB-27E168116E09}"/>
              </c:ext>
            </c:extLst>
          </c:dPt>
          <c:dPt>
            <c:idx val="2"/>
            <c:marker>
              <c:symbol val="none"/>
            </c:marker>
            <c:bubble3D val="0"/>
            <c:spPr>
              <a:ln w="28575" cap="rnd">
                <a:solidFill>
                  <a:srgbClr val="084C2C"/>
                </a:solidFill>
                <a:round/>
              </a:ln>
              <a:effectLst/>
            </c:spPr>
            <c:extLst>
              <c:ext xmlns:c16="http://schemas.microsoft.com/office/drawing/2014/chart" uri="{C3380CC4-5D6E-409C-BE32-E72D297353CC}">
                <c16:uniqueId val="{00000005-EC8C-4F9D-8EBB-27E168116E09}"/>
              </c:ext>
            </c:extLst>
          </c:dPt>
          <c:dPt>
            <c:idx val="3"/>
            <c:marker>
              <c:symbol val="none"/>
            </c:marker>
            <c:bubble3D val="0"/>
            <c:spPr>
              <a:ln w="28575" cap="rnd">
                <a:solidFill>
                  <a:srgbClr val="084C2C"/>
                </a:solidFill>
                <a:round/>
              </a:ln>
              <a:effectLst/>
            </c:spPr>
            <c:extLst>
              <c:ext xmlns:c16="http://schemas.microsoft.com/office/drawing/2014/chart" uri="{C3380CC4-5D6E-409C-BE32-E72D297353CC}">
                <c16:uniqueId val="{00000007-EC8C-4F9D-8EBB-27E168116E09}"/>
              </c:ext>
            </c:extLst>
          </c:dPt>
          <c:dPt>
            <c:idx val="4"/>
            <c:marker>
              <c:symbol val="none"/>
            </c:marker>
            <c:bubble3D val="0"/>
            <c:spPr>
              <a:ln w="28575" cap="rnd">
                <a:solidFill>
                  <a:srgbClr val="084C2C"/>
                </a:solidFill>
                <a:round/>
              </a:ln>
              <a:effectLst/>
            </c:spPr>
            <c:extLst>
              <c:ext xmlns:c16="http://schemas.microsoft.com/office/drawing/2014/chart" uri="{C3380CC4-5D6E-409C-BE32-E72D297353CC}">
                <c16:uniqueId val="{00000009-EC8C-4F9D-8EBB-27E168116E09}"/>
              </c:ext>
            </c:extLst>
          </c:dPt>
          <c:dPt>
            <c:idx val="5"/>
            <c:marker>
              <c:symbol val="none"/>
            </c:marker>
            <c:bubble3D val="0"/>
            <c:spPr>
              <a:ln w="28575" cap="rnd">
                <a:solidFill>
                  <a:srgbClr val="084C2C"/>
                </a:solidFill>
                <a:round/>
              </a:ln>
              <a:effectLst/>
            </c:spPr>
            <c:extLst>
              <c:ext xmlns:c16="http://schemas.microsoft.com/office/drawing/2014/chart" uri="{C3380CC4-5D6E-409C-BE32-E72D297353CC}">
                <c16:uniqueId val="{0000000B-EC8C-4F9D-8EBB-27E168116E09}"/>
              </c:ext>
            </c:extLst>
          </c:dPt>
          <c:dPt>
            <c:idx val="6"/>
            <c:marker>
              <c:symbol val="none"/>
            </c:marker>
            <c:bubble3D val="0"/>
            <c:spPr>
              <a:ln w="28575" cap="rnd">
                <a:solidFill>
                  <a:srgbClr val="084C2C"/>
                </a:solidFill>
                <a:round/>
              </a:ln>
              <a:effectLst/>
            </c:spPr>
            <c:extLst>
              <c:ext xmlns:c16="http://schemas.microsoft.com/office/drawing/2014/chart" uri="{C3380CC4-5D6E-409C-BE32-E72D297353CC}">
                <c16:uniqueId val="{0000000D-EC8C-4F9D-8EBB-27E168116E09}"/>
              </c:ext>
            </c:extLst>
          </c:dPt>
          <c:dPt>
            <c:idx val="7"/>
            <c:marker>
              <c:symbol val="none"/>
            </c:marker>
            <c:bubble3D val="0"/>
            <c:spPr>
              <a:ln w="28575" cap="rnd">
                <a:solidFill>
                  <a:srgbClr val="084C2C"/>
                </a:solidFill>
                <a:round/>
              </a:ln>
              <a:effectLst/>
            </c:spPr>
            <c:extLst>
              <c:ext xmlns:c16="http://schemas.microsoft.com/office/drawing/2014/chart" uri="{C3380CC4-5D6E-409C-BE32-E72D297353CC}">
                <c16:uniqueId val="{0000000F-EC8C-4F9D-8EBB-27E168116E09}"/>
              </c:ext>
            </c:extLst>
          </c:dPt>
          <c:dPt>
            <c:idx val="8"/>
            <c:marker>
              <c:symbol val="none"/>
            </c:marker>
            <c:bubble3D val="0"/>
            <c:spPr>
              <a:ln w="28575" cap="rnd">
                <a:solidFill>
                  <a:srgbClr val="084C2C"/>
                </a:solidFill>
                <a:round/>
              </a:ln>
              <a:effectLst/>
            </c:spPr>
            <c:extLst>
              <c:ext xmlns:c16="http://schemas.microsoft.com/office/drawing/2014/chart" uri="{C3380CC4-5D6E-409C-BE32-E72D297353CC}">
                <c16:uniqueId val="{00000011-EC8C-4F9D-8EBB-27E168116E09}"/>
              </c:ext>
            </c:extLst>
          </c:dPt>
          <c:dPt>
            <c:idx val="9"/>
            <c:marker>
              <c:symbol val="none"/>
            </c:marker>
            <c:bubble3D val="0"/>
            <c:spPr>
              <a:ln w="28575" cap="rnd">
                <a:solidFill>
                  <a:srgbClr val="084C2C"/>
                </a:solidFill>
                <a:round/>
              </a:ln>
              <a:effectLst/>
            </c:spPr>
            <c:extLst>
              <c:ext xmlns:c16="http://schemas.microsoft.com/office/drawing/2014/chart" uri="{C3380CC4-5D6E-409C-BE32-E72D297353CC}">
                <c16:uniqueId val="{00000013-EC8C-4F9D-8EBB-27E168116E09}"/>
              </c:ext>
            </c:extLst>
          </c:dPt>
          <c:dLbls>
            <c:dLbl>
              <c:idx val="0"/>
              <c:layout>
                <c:manualLayout>
                  <c:x val="0"/>
                  <c:y val="-3.99908057282451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C8C-4F9D-8EBB-27E168116E09}"/>
                </c:ext>
              </c:extLst>
            </c:dLbl>
            <c:dLbl>
              <c:idx val="1"/>
              <c:layout>
                <c:manualLayout>
                  <c:x val="0.10744638527696486"/>
                  <c:y val="2.62186419205336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C8C-4F9D-8EBB-27E168116E09}"/>
                </c:ext>
              </c:extLst>
            </c:dLbl>
            <c:dLbl>
              <c:idx val="2"/>
              <c:layout>
                <c:manualLayout>
                  <c:x val="0.15988808198182092"/>
                  <c:y val="3.24169352783850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C8C-4F9D-8EBB-27E168116E09}"/>
                </c:ext>
              </c:extLst>
            </c:dLbl>
            <c:dLbl>
              <c:idx val="3"/>
              <c:layout>
                <c:manualLayout>
                  <c:x val="0.15522777556755749"/>
                  <c:y val="7.80262250565286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C8C-4F9D-8EBB-27E168116E09}"/>
                </c:ext>
              </c:extLst>
            </c:dLbl>
            <c:dLbl>
              <c:idx val="4"/>
              <c:layout>
                <c:manualLayout>
                  <c:x val="0.14852562603213942"/>
                  <c:y val="0.114597331879355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C8C-4F9D-8EBB-27E168116E09}"/>
                </c:ext>
              </c:extLst>
            </c:dLbl>
            <c:dLbl>
              <c:idx val="5"/>
              <c:layout>
                <c:manualLayout>
                  <c:x val="0"/>
                  <c:y val="0.173944930588593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C8C-4F9D-8EBB-27E168116E09}"/>
                </c:ext>
              </c:extLst>
            </c:dLbl>
            <c:dLbl>
              <c:idx val="6"/>
              <c:layout>
                <c:manualLayout>
                  <c:x val="-0.14873938534833583"/>
                  <c:y val="0.147290095310386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C8C-4F9D-8EBB-27E168116E09}"/>
                </c:ext>
              </c:extLst>
            </c:dLbl>
            <c:dLbl>
              <c:idx val="7"/>
              <c:layout>
                <c:manualLayout>
                  <c:x val="-0.17851058161613351"/>
                  <c:y val="8.1004385097439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C8C-4F9D-8EBB-27E168116E09}"/>
                </c:ext>
              </c:extLst>
            </c:dLbl>
            <c:dLbl>
              <c:idx val="8"/>
              <c:layout>
                <c:manualLayout>
                  <c:x val="-0.19445808656792987"/>
                  <c:y val="2.72004333424206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C8C-4F9D-8EBB-27E168116E09}"/>
                </c:ext>
              </c:extLst>
            </c:dLbl>
            <c:dLbl>
              <c:idx val="9"/>
              <c:layout>
                <c:manualLayout>
                  <c:x val="-0.21378864185456875"/>
                  <c:y val="-5.08949269358307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EC8C-4F9D-8EBB-27E168116E09}"/>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Customers'!$A$4:$A$14</c:f>
              <c:strCache>
                <c:ptCount val="10"/>
                <c:pt idx="0">
                  <c:v>Company D</c:v>
                </c:pt>
                <c:pt idx="1">
                  <c:v>Company H</c:v>
                </c:pt>
                <c:pt idx="2">
                  <c:v>Company BB</c:v>
                </c:pt>
                <c:pt idx="3">
                  <c:v>Company F</c:v>
                </c:pt>
                <c:pt idx="4">
                  <c:v>Company A</c:v>
                </c:pt>
                <c:pt idx="5">
                  <c:v>Company I</c:v>
                </c:pt>
                <c:pt idx="6">
                  <c:v>Company J</c:v>
                </c:pt>
                <c:pt idx="7">
                  <c:v>Company Z</c:v>
                </c:pt>
                <c:pt idx="8">
                  <c:v>Company C</c:v>
                </c:pt>
                <c:pt idx="9">
                  <c:v>Company K</c:v>
                </c:pt>
              </c:strCache>
            </c:strRef>
          </c:cat>
          <c:val>
            <c:numRef>
              <c:f>'Top 10 Customers'!$B$4:$B$14</c:f>
              <c:numCache>
                <c:formatCode>"$"#,##0.00</c:formatCode>
                <c:ptCount val="10"/>
                <c:pt idx="0">
                  <c:v>67180.5</c:v>
                </c:pt>
                <c:pt idx="1">
                  <c:v>50208.35</c:v>
                </c:pt>
                <c:pt idx="2">
                  <c:v>43713</c:v>
                </c:pt>
                <c:pt idx="3">
                  <c:v>37428</c:v>
                </c:pt>
                <c:pt idx="4">
                  <c:v>36839.990000000005</c:v>
                </c:pt>
                <c:pt idx="5">
                  <c:v>32530.6</c:v>
                </c:pt>
                <c:pt idx="6">
                  <c:v>29133.009999999995</c:v>
                </c:pt>
                <c:pt idx="7">
                  <c:v>28208.250000000007</c:v>
                </c:pt>
                <c:pt idx="8">
                  <c:v>27005.38</c:v>
                </c:pt>
                <c:pt idx="9">
                  <c:v>21937.08</c:v>
                </c:pt>
              </c:numCache>
            </c:numRef>
          </c:val>
          <c:extLst>
            <c:ext xmlns:c16="http://schemas.microsoft.com/office/drawing/2014/chart" uri="{C3380CC4-5D6E-409C-BE32-E72D297353CC}">
              <c16:uniqueId val="{00000014-EC8C-4F9D-8EBB-27E168116E09}"/>
            </c:ext>
          </c:extLst>
        </c:ser>
        <c:dLbls>
          <c:showLegendKey val="0"/>
          <c:showVal val="1"/>
          <c:showCatName val="0"/>
          <c:showSerName val="0"/>
          <c:showPercent val="0"/>
          <c:showBubbleSize val="0"/>
        </c:dLbls>
        <c:axId val="547988360"/>
        <c:axId val="547987640"/>
      </c:radarChart>
      <c:catAx>
        <c:axId val="547988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crossAx val="547987640"/>
        <c:crosses val="autoZero"/>
        <c:auto val="1"/>
        <c:lblAlgn val="ctr"/>
        <c:lblOffset val="100"/>
        <c:noMultiLvlLbl val="0"/>
      </c:catAx>
      <c:valAx>
        <c:axId val="547987640"/>
        <c:scaling>
          <c:orientation val="minMax"/>
        </c:scaling>
        <c:delete val="1"/>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quot;$&quot;#,##0.00" sourceLinked="1"/>
        <c:majorTickMark val="none"/>
        <c:minorTickMark val="none"/>
        <c:tickLblPos val="nextTo"/>
        <c:crossAx val="547988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38100" dir="2700000" algn="tl" rotWithShape="0">
        <a:srgbClr val="084C2C">
          <a:alpha val="40000"/>
        </a:srgb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Process.xlsx]Sales Trend!PivotTable1</c:name>
    <c:fmtId val="42"/>
  </c:pivotSource>
  <c:chart>
    <c:autoTitleDeleted val="1"/>
    <c:pivotFmts>
      <c:pivotFmt>
        <c:idx val="0"/>
        <c:spPr>
          <a:solidFill>
            <a:schemeClr val="accent1"/>
          </a:solidFill>
          <a:ln w="25400"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rgbClr val="084C2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solidFill>
              <a:srgbClr val="084C2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cap="rnd">
            <a:solidFill>
              <a:srgbClr val="084C2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6350"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6350"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ln w="6350"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Trend'!$B$3</c:f>
              <c:strCache>
                <c:ptCount val="1"/>
                <c:pt idx="0">
                  <c:v>Total</c:v>
                </c:pt>
              </c:strCache>
            </c:strRef>
          </c:tx>
          <c:spPr>
            <a:ln w="6350" cap="rnd">
              <a:solidFill>
                <a:schemeClr val="bg1"/>
              </a:solidFill>
              <a:round/>
            </a:ln>
            <a:effectLst/>
          </c:spPr>
          <c:marker>
            <c:symbol val="none"/>
          </c:marker>
          <c:cat>
            <c:strRef>
              <c:f>'Sales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Trend'!$B$4:$B$16</c:f>
              <c:numCache>
                <c:formatCode>"$"#,##0.00</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0-EE81-4B57-8052-E13A6B94C75C}"/>
            </c:ext>
          </c:extLst>
        </c:ser>
        <c:dLbls>
          <c:showLegendKey val="0"/>
          <c:showVal val="0"/>
          <c:showCatName val="0"/>
          <c:showSerName val="0"/>
          <c:showPercent val="0"/>
          <c:showBubbleSize val="0"/>
        </c:dLbls>
        <c:smooth val="0"/>
        <c:axId val="512723872"/>
        <c:axId val="512724232"/>
      </c:lineChart>
      <c:catAx>
        <c:axId val="512723872"/>
        <c:scaling>
          <c:orientation val="minMax"/>
        </c:scaling>
        <c:delete val="1"/>
        <c:axPos val="b"/>
        <c:numFmt formatCode="General" sourceLinked="1"/>
        <c:majorTickMark val="none"/>
        <c:minorTickMark val="none"/>
        <c:tickLblPos val="nextTo"/>
        <c:crossAx val="512724232"/>
        <c:crosses val="autoZero"/>
        <c:auto val="1"/>
        <c:lblAlgn val="ctr"/>
        <c:lblOffset val="100"/>
        <c:noMultiLvlLbl val="0"/>
      </c:catAx>
      <c:valAx>
        <c:axId val="512724232"/>
        <c:scaling>
          <c:orientation val="minMax"/>
        </c:scaling>
        <c:delete val="1"/>
        <c:axPos val="l"/>
        <c:numFmt formatCode="&quot;$&quot;#,##0.00" sourceLinked="1"/>
        <c:majorTickMark val="none"/>
        <c:minorTickMark val="none"/>
        <c:tickLblPos val="nextTo"/>
        <c:crossAx val="512723872"/>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Process.xlsx]Sales Trend!PivotTable1</c:name>
    <c:fmtId val="43"/>
  </c:pivotSource>
  <c:chart>
    <c:autoTitleDeleted val="1"/>
    <c:pivotFmts>
      <c:pivotFmt>
        <c:idx val="0"/>
        <c:spPr>
          <a:solidFill>
            <a:schemeClr val="accent1"/>
          </a:solidFill>
          <a:ln w="25400"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rgbClr val="084C2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solidFill>
              <a:srgbClr val="084C2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cap="rnd">
            <a:solidFill>
              <a:srgbClr val="084C2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6350" cap="rnd">
            <a:solidFill>
              <a:srgbClr val="084C2C"/>
            </a:solidFill>
            <a:round/>
          </a:ln>
          <a:effectLst/>
        </c:spPr>
        <c:marker>
          <c:symbol val="none"/>
        </c:marker>
      </c:pivotFmt>
      <c:pivotFmt>
        <c:idx val="6"/>
        <c:spPr>
          <a:solidFill>
            <a:schemeClr val="accent1"/>
          </a:solidFill>
          <a:ln w="6350"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6350"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ln w="6350"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Trend'!$B$3</c:f>
              <c:strCache>
                <c:ptCount val="1"/>
                <c:pt idx="0">
                  <c:v>Total</c:v>
                </c:pt>
              </c:strCache>
            </c:strRef>
          </c:tx>
          <c:spPr>
            <a:ln w="6350" cap="rnd">
              <a:solidFill>
                <a:schemeClr val="bg1"/>
              </a:solidFill>
              <a:round/>
            </a:ln>
            <a:effectLst/>
          </c:spPr>
          <c:marker>
            <c:symbol val="none"/>
          </c:marker>
          <c:cat>
            <c:strRef>
              <c:f>'Sales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Trend'!$B$4:$B$16</c:f>
              <c:numCache>
                <c:formatCode>"$"#,##0.00</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0-27A0-4E09-9877-6CEEC38AAC78}"/>
            </c:ext>
          </c:extLst>
        </c:ser>
        <c:dLbls>
          <c:showLegendKey val="0"/>
          <c:showVal val="0"/>
          <c:showCatName val="0"/>
          <c:showSerName val="0"/>
          <c:showPercent val="0"/>
          <c:showBubbleSize val="0"/>
        </c:dLbls>
        <c:smooth val="0"/>
        <c:axId val="512723872"/>
        <c:axId val="512724232"/>
      </c:lineChart>
      <c:catAx>
        <c:axId val="512723872"/>
        <c:scaling>
          <c:orientation val="minMax"/>
        </c:scaling>
        <c:delete val="1"/>
        <c:axPos val="b"/>
        <c:numFmt formatCode="General" sourceLinked="1"/>
        <c:majorTickMark val="none"/>
        <c:minorTickMark val="none"/>
        <c:tickLblPos val="nextTo"/>
        <c:crossAx val="512724232"/>
        <c:crosses val="autoZero"/>
        <c:auto val="1"/>
        <c:lblAlgn val="ctr"/>
        <c:lblOffset val="100"/>
        <c:noMultiLvlLbl val="0"/>
      </c:catAx>
      <c:valAx>
        <c:axId val="512724232"/>
        <c:scaling>
          <c:orientation val="minMax"/>
        </c:scaling>
        <c:delete val="1"/>
        <c:axPos val="l"/>
        <c:numFmt formatCode="&quot;$&quot;#,##0.00" sourceLinked="1"/>
        <c:majorTickMark val="none"/>
        <c:minorTickMark val="none"/>
        <c:tickLblPos val="nextTo"/>
        <c:crossAx val="512723872"/>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Process.xlsx]Sales Trend!PivotTable1</c:name>
    <c:fmtId val="44"/>
  </c:pivotSource>
  <c:chart>
    <c:autoTitleDeleted val="1"/>
    <c:pivotFmts>
      <c:pivotFmt>
        <c:idx val="0"/>
        <c:spPr>
          <a:solidFill>
            <a:schemeClr val="accent1"/>
          </a:solidFill>
          <a:ln w="25400"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rgbClr val="084C2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solidFill>
              <a:srgbClr val="084C2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cap="rnd">
            <a:solidFill>
              <a:srgbClr val="084C2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6350" cap="rnd">
            <a:solidFill>
              <a:srgbClr val="084C2C"/>
            </a:solidFill>
            <a:round/>
          </a:ln>
          <a:effectLst/>
        </c:spPr>
        <c:marker>
          <c:symbol val="none"/>
        </c:marker>
      </c:pivotFmt>
      <c:pivotFmt>
        <c:idx val="6"/>
        <c:spPr>
          <a:solidFill>
            <a:schemeClr val="accent1"/>
          </a:solidFill>
          <a:ln w="6350" cap="rnd">
            <a:solidFill>
              <a:srgbClr val="084C2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6350"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6350"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ln w="6350"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Trend'!$B$3</c:f>
              <c:strCache>
                <c:ptCount val="1"/>
                <c:pt idx="0">
                  <c:v>Total</c:v>
                </c:pt>
              </c:strCache>
            </c:strRef>
          </c:tx>
          <c:spPr>
            <a:ln w="6350" cap="rnd">
              <a:solidFill>
                <a:schemeClr val="bg1"/>
              </a:solidFill>
              <a:round/>
            </a:ln>
            <a:effectLst/>
          </c:spPr>
          <c:marker>
            <c:symbol val="none"/>
          </c:marker>
          <c:cat>
            <c:strRef>
              <c:f>'Sales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Trend'!$B$4:$B$16</c:f>
              <c:numCache>
                <c:formatCode>"$"#,##0.00</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0-536A-44B3-9C22-3F3D5A071BF5}"/>
            </c:ext>
          </c:extLst>
        </c:ser>
        <c:dLbls>
          <c:showLegendKey val="0"/>
          <c:showVal val="0"/>
          <c:showCatName val="0"/>
          <c:showSerName val="0"/>
          <c:showPercent val="0"/>
          <c:showBubbleSize val="0"/>
        </c:dLbls>
        <c:smooth val="0"/>
        <c:axId val="512723872"/>
        <c:axId val="512724232"/>
      </c:lineChart>
      <c:catAx>
        <c:axId val="512723872"/>
        <c:scaling>
          <c:orientation val="minMax"/>
        </c:scaling>
        <c:delete val="1"/>
        <c:axPos val="b"/>
        <c:numFmt formatCode="General" sourceLinked="1"/>
        <c:majorTickMark val="none"/>
        <c:minorTickMark val="none"/>
        <c:tickLblPos val="nextTo"/>
        <c:crossAx val="512724232"/>
        <c:crosses val="autoZero"/>
        <c:auto val="1"/>
        <c:lblAlgn val="ctr"/>
        <c:lblOffset val="100"/>
        <c:noMultiLvlLbl val="0"/>
      </c:catAx>
      <c:valAx>
        <c:axId val="512724232"/>
        <c:scaling>
          <c:orientation val="minMax"/>
        </c:scaling>
        <c:delete val="1"/>
        <c:axPos val="l"/>
        <c:numFmt formatCode="&quot;$&quot;#,##0.00" sourceLinked="1"/>
        <c:majorTickMark val="none"/>
        <c:minorTickMark val="none"/>
        <c:tickLblPos val="nextTo"/>
        <c:crossAx val="512723872"/>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Process.xlsx]Sales Trend!PivotTable1</c:name>
    <c:fmtId val="45"/>
  </c:pivotSource>
  <c:chart>
    <c:autoTitleDeleted val="1"/>
    <c:pivotFmts>
      <c:pivotFmt>
        <c:idx val="0"/>
        <c:spPr>
          <a:solidFill>
            <a:schemeClr val="accent1"/>
          </a:solidFill>
          <a:ln w="25400"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rgbClr val="084C2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solidFill>
              <a:srgbClr val="084C2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cap="rnd">
            <a:solidFill>
              <a:srgbClr val="084C2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6350" cap="rnd">
            <a:solidFill>
              <a:srgbClr val="084C2C"/>
            </a:solidFill>
            <a:round/>
          </a:ln>
          <a:effectLst/>
        </c:spPr>
        <c:marker>
          <c:symbol val="none"/>
        </c:marker>
      </c:pivotFmt>
      <c:pivotFmt>
        <c:idx val="6"/>
        <c:spPr>
          <a:solidFill>
            <a:schemeClr val="accent1"/>
          </a:solidFill>
          <a:ln w="6350" cap="rnd">
            <a:solidFill>
              <a:srgbClr val="084C2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6350" cap="rnd">
            <a:solidFill>
              <a:srgbClr val="084C2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6350"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6350"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ln w="6350"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Trend'!$B$3</c:f>
              <c:strCache>
                <c:ptCount val="1"/>
                <c:pt idx="0">
                  <c:v>Total</c:v>
                </c:pt>
              </c:strCache>
            </c:strRef>
          </c:tx>
          <c:spPr>
            <a:ln w="6350" cap="rnd">
              <a:solidFill>
                <a:schemeClr val="bg1"/>
              </a:solidFill>
              <a:round/>
            </a:ln>
            <a:effectLst/>
          </c:spPr>
          <c:marker>
            <c:symbol val="none"/>
          </c:marker>
          <c:cat>
            <c:strRef>
              <c:f>'Sales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Trend'!$B$4:$B$16</c:f>
              <c:numCache>
                <c:formatCode>"$"#,##0.00</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0-DA98-4C81-8CA8-F5849C72590A}"/>
            </c:ext>
          </c:extLst>
        </c:ser>
        <c:dLbls>
          <c:showLegendKey val="0"/>
          <c:showVal val="0"/>
          <c:showCatName val="0"/>
          <c:showSerName val="0"/>
          <c:showPercent val="0"/>
          <c:showBubbleSize val="0"/>
        </c:dLbls>
        <c:smooth val="0"/>
        <c:axId val="512723872"/>
        <c:axId val="512724232"/>
      </c:lineChart>
      <c:catAx>
        <c:axId val="512723872"/>
        <c:scaling>
          <c:orientation val="minMax"/>
        </c:scaling>
        <c:delete val="1"/>
        <c:axPos val="b"/>
        <c:numFmt formatCode="General" sourceLinked="1"/>
        <c:majorTickMark val="none"/>
        <c:minorTickMark val="none"/>
        <c:tickLblPos val="nextTo"/>
        <c:crossAx val="512724232"/>
        <c:crosses val="autoZero"/>
        <c:auto val="1"/>
        <c:lblAlgn val="ctr"/>
        <c:lblOffset val="100"/>
        <c:noMultiLvlLbl val="0"/>
      </c:catAx>
      <c:valAx>
        <c:axId val="512724232"/>
        <c:scaling>
          <c:orientation val="minMax"/>
        </c:scaling>
        <c:delete val="1"/>
        <c:axPos val="l"/>
        <c:numFmt formatCode="&quot;$&quot;#,##0.00" sourceLinked="1"/>
        <c:majorTickMark val="none"/>
        <c:minorTickMark val="none"/>
        <c:tickLblPos val="nextTo"/>
        <c:crossAx val="512723872"/>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[Analytical Process.xlsx]Sales Trend!PivotTable1</c:name>
    <c:fmtId val="46"/>
  </c:pivotSource>
  <c:chart>
    <c:autoTitleDeleted val="1"/>
    <c:pivotFmts>
      <c:pivotFmt>
        <c:idx val="0"/>
        <c:spPr>
          <a:solidFill>
            <a:schemeClr val="accent1"/>
          </a:solidFill>
          <a:ln w="25400"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rgbClr val="084C2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solidFill>
              <a:srgbClr val="084C2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cap="rnd">
            <a:solidFill>
              <a:srgbClr val="084C2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6350" cap="rnd">
            <a:solidFill>
              <a:srgbClr val="084C2C"/>
            </a:solidFill>
            <a:round/>
          </a:ln>
          <a:effectLst/>
        </c:spPr>
        <c:marker>
          <c:symbol val="none"/>
        </c:marker>
      </c:pivotFmt>
      <c:pivotFmt>
        <c:idx val="6"/>
        <c:spPr>
          <a:solidFill>
            <a:schemeClr val="accent1"/>
          </a:solidFill>
          <a:ln w="6350" cap="rnd">
            <a:solidFill>
              <a:srgbClr val="084C2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6350" cap="rnd">
            <a:solidFill>
              <a:srgbClr val="084C2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6350" cap="rnd">
            <a:solidFill>
              <a:srgbClr val="084C2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6350"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6350" cap="rnd">
            <a:solidFill>
              <a:schemeClr val="bg1"/>
            </a:solidFill>
            <a:round/>
          </a:ln>
          <a:effectLst/>
        </c:spPr>
        <c:marker>
          <c:symbol val="none"/>
        </c:marker>
      </c:pivotFmt>
      <c:pivotFmt>
        <c:idx val="11"/>
        <c:spPr>
          <a:solidFill>
            <a:schemeClr val="accent1"/>
          </a:solidFill>
          <a:ln w="6350"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ln w="6350"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Trend'!$B$3</c:f>
              <c:strCache>
                <c:ptCount val="1"/>
                <c:pt idx="0">
                  <c:v>Total</c:v>
                </c:pt>
              </c:strCache>
            </c:strRef>
          </c:tx>
          <c:spPr>
            <a:ln w="6350" cap="rnd">
              <a:solidFill>
                <a:schemeClr val="bg1"/>
              </a:solidFill>
              <a:round/>
            </a:ln>
            <a:effectLst/>
          </c:spPr>
          <c:marker>
            <c:symbol val="none"/>
          </c:marker>
          <c:cat>
            <c:strRef>
              <c:f>'Sales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Trend'!$B$4:$B$16</c:f>
              <c:numCache>
                <c:formatCode>"$"#,##0.00</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0-D7B2-4DA1-8F6C-CDF80BAFA9B1}"/>
            </c:ext>
          </c:extLst>
        </c:ser>
        <c:dLbls>
          <c:showLegendKey val="0"/>
          <c:showVal val="0"/>
          <c:showCatName val="0"/>
          <c:showSerName val="0"/>
          <c:showPercent val="0"/>
          <c:showBubbleSize val="0"/>
        </c:dLbls>
        <c:smooth val="0"/>
        <c:axId val="512723872"/>
        <c:axId val="512724232"/>
      </c:lineChart>
      <c:catAx>
        <c:axId val="512723872"/>
        <c:scaling>
          <c:orientation val="minMax"/>
        </c:scaling>
        <c:delete val="1"/>
        <c:axPos val="b"/>
        <c:numFmt formatCode="General" sourceLinked="1"/>
        <c:majorTickMark val="none"/>
        <c:minorTickMark val="none"/>
        <c:tickLblPos val="nextTo"/>
        <c:crossAx val="512724232"/>
        <c:crosses val="autoZero"/>
        <c:auto val="1"/>
        <c:lblAlgn val="ctr"/>
        <c:lblOffset val="100"/>
        <c:noMultiLvlLbl val="0"/>
      </c:catAx>
      <c:valAx>
        <c:axId val="512724232"/>
        <c:scaling>
          <c:orientation val="minMax"/>
        </c:scaling>
        <c:delete val="1"/>
        <c:axPos val="l"/>
        <c:numFmt formatCode="&quot;$&quot;#,##0.00" sourceLinked="1"/>
        <c:majorTickMark val="none"/>
        <c:minorTickMark val="none"/>
        <c:tickLblPos val="nextTo"/>
        <c:crossAx val="512723872"/>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Top 6 Ship Cities</cx:v>
        </cx:txData>
      </cx:tx>
      <cx:txPr>
        <a:bodyPr spcFirstLastPara="1" vertOverflow="ellipsis" horzOverflow="overflow" wrap="square" lIns="0" tIns="0" rIns="0" bIns="0" anchor="ctr" anchorCtr="1"/>
        <a:lstStyle/>
        <a:p>
          <a:pPr algn="ctr" rtl="0">
            <a:defRPr b="1"/>
          </a:pPr>
          <a:r>
            <a:rPr lang="en-US" sz="1400" b="1" i="0" u="none" strike="noStrike" baseline="0">
              <a:solidFill>
                <a:sysClr val="windowText" lastClr="000000">
                  <a:lumMod val="65000"/>
                  <a:lumOff val="35000"/>
                </a:sysClr>
              </a:solidFill>
              <a:latin typeface="Arial Narrow" panose="020B0606020202030204" pitchFamily="34" charset="0"/>
            </a:rPr>
            <a:t>Top 6 Ship Cities</a:t>
          </a:r>
        </a:p>
      </cx:txPr>
    </cx:title>
    <cx:plotArea>
      <cx:plotAreaRegion>
        <cx:series layoutId="treemap" uniqueId="{5959B92C-FC83-412D-B022-977FDFF556C8}">
          <cx:tx>
            <cx:txData>
              <cx:f>_xlchart.v1.1</cx:f>
              <cx:v> Revenue</cx:v>
            </cx:txData>
          </cx:tx>
          <cx:dataPt idx="0">
            <cx:spPr>
              <a:solidFill>
                <a:srgbClr val="4472C4">
                  <a:lumMod val="50000"/>
                </a:srgbClr>
              </a:solidFill>
            </cx:spPr>
          </cx:dataPt>
          <cx:dataPt idx="1">
            <cx:spPr>
              <a:solidFill>
                <a:srgbClr val="4472C4">
                  <a:lumMod val="75000"/>
                </a:srgbClr>
              </a:solidFill>
            </cx:spPr>
          </cx:dataPt>
          <cx:dataPt idx="2">
            <cx:spPr>
              <a:solidFill>
                <a:srgbClr val="4472C4">
                  <a:lumMod val="60000"/>
                  <a:lumOff val="40000"/>
                </a:srgbClr>
              </a:solidFill>
            </cx:spPr>
          </cx:dataPt>
          <cx:dataPt idx="3">
            <cx:spPr>
              <a:solidFill>
                <a:srgbClr val="4472C4">
                  <a:lumMod val="40000"/>
                  <a:lumOff val="60000"/>
                </a:srgbClr>
              </a:solidFill>
            </cx:spPr>
          </cx:dataPt>
          <cx:dataPt idx="4">
            <cx:spPr>
              <a:solidFill>
                <a:srgbClr val="4472C4">
                  <a:lumMod val="20000"/>
                  <a:lumOff val="80000"/>
                </a:srgbClr>
              </a:solidFill>
            </cx:spPr>
          </cx:dataPt>
          <cx:dataPt idx="5">
            <cx:spPr>
              <a:solidFill>
                <a:srgbClr val="5B9BD5">
                  <a:lumMod val="20000"/>
                  <a:lumOff val="80000"/>
                </a:srgbClr>
              </a:solidFill>
            </cx:spPr>
          </cx:dataPt>
          <cx:dataLabels pos="inEnd">
            <cx:visibility seriesName="0" categoryName="1" value="0"/>
          </cx:dataLabels>
          <cx:dataId val="0"/>
          <cx:layoutPr>
            <cx:parentLabelLayout val="overlapping"/>
          </cx:layoutPr>
        </cx:series>
      </cx:plotAreaRegion>
    </cx:plotArea>
    <cx:legend pos="t" align="ctr" overlay="0"/>
  </cx:chart>
  <cx:spPr>
    <a:effectLst>
      <a:outerShdw blurRad="50800" dist="38100" dir="2700000" algn="tl" rotWithShape="0">
        <a:prstClr val="black">
          <a:alpha val="40000"/>
        </a:prstClr>
      </a:out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tx>
        <cx:txData>
          <cx:v>STATE PERFORMANCE BY REVENUE</cx:v>
        </cx:txData>
      </cx:tx>
      <cx:txPr>
        <a:bodyPr spcFirstLastPara="1" vertOverflow="ellipsis" horzOverflow="overflow" wrap="square" lIns="0" tIns="0" rIns="0" bIns="0" anchor="ctr" anchorCtr="1"/>
        <a:lstStyle/>
        <a:p>
          <a:pPr algn="ctr" rtl="0">
            <a:defRPr b="1">
              <a:latin typeface="Arial Narrow" panose="020B0606020202030204" pitchFamily="34" charset="0"/>
              <a:ea typeface="Arial Narrow" panose="020B0606020202030204" pitchFamily="34" charset="0"/>
              <a:cs typeface="Arial Narrow" panose="020B0606020202030204" pitchFamily="34" charset="0"/>
            </a:defRPr>
          </a:pPr>
          <a:r>
            <a:rPr lang="en-US" sz="1400" b="1" i="0" u="none" strike="noStrike" baseline="0">
              <a:solidFill>
                <a:sysClr val="windowText" lastClr="000000">
                  <a:lumMod val="65000"/>
                  <a:lumOff val="35000"/>
                </a:sysClr>
              </a:solidFill>
              <a:latin typeface="Arial Narrow" panose="020B0606020202030204" pitchFamily="34" charset="0"/>
            </a:rPr>
            <a:t>STATE PERFORMANCE BY REVENUE</a:t>
          </a:r>
        </a:p>
      </cx:txPr>
    </cx:title>
    <cx:plotArea>
      <cx:plotAreaRegion>
        <cx:series layoutId="regionMap" uniqueId="{65821DCB-AF3B-4F77-A7FC-8FBED50573AB}">
          <cx:tx>
            <cx:txData>
              <cx:f>_xlchart.v5.5</cx:f>
              <cx:v>Revenue</cx:v>
            </cx:txData>
          </cx:tx>
          <cx:dataLabels>
            <cx:visibility seriesName="0" categoryName="1" value="1"/>
            <cx:separator>
</cx:separator>
          </cx:dataLabels>
          <cx:dataId val="0"/>
          <cx:layoutPr>
            <cx:geography cultureLanguage="en-US" cultureRegion="NG" attribution="Powered by Bing">
              <cx:geoCache provider="{E9337A44-BEBE-4D9F-B70C-5C5E7DAFC167}">
                <cx:binary>1Htpb9xIsu1fafjzozr3ZA6mB7hkVWmzZVuyPW1/IWRLzZ1JJnf++neoktxS2SM/Dy7wYKPRBXGp
zNhORJzI+ueX6R9fittr99tUFlX7jy/THy+Srqv/8fvv7Zfktrxuj8r0i7Ot/as7+mLL3+1ff6Vf
bn+/cddjWsW/M0LF71+Sa9fdTi/+9U98W3xrX9ov111qq7f9rZsvb9u+6Npn7n331m/XN2VabdK2
c+mXjv7xIvyfF7/dVl3aze/m+vaPF0/uv/jt98Nv+WbF3wpsqutv8C7XR0wKpQw15O4fffFbYav4
/rZHqTlSVDNNBTV3/x7Wvrgu8X54XaR/WVel1w/Xv7enux1d39y427aFOHefT999IsNexC+2r7pV
azEU+MeL91Xa3d78dtVdd7fti9/S1ob7B0K7CvL+6k7y35/q/V//PLgAXRxceWSaQ8X96Na3lnn9
nBZ+0jL+kTG+lESw71uGyCMptM8Vf1j03iS2sO76xj5c/QmDfH3z0ByQ6xc0x+7lczr4OXMw/0ga
Kange2uQg0Dx2ZHwNRfMv3/gwCo7GCW9+S+i5OuLBzZZhfsFbXK6+d+ziRBH3DdEswds8g/BSxwp
abj2iXxYdR8jpzfXyX8RIPevHVhiFekXtMTFxwedfA8hfi46BDsy3DDB+T1YwfsfpxEtjxTuSEXF
Pouoh7X39ri4HX/7aF3+cPV7O/p+Evn7zQOrrOL9glY5/V/ELEGOKGIDKeJe6+apVXxzRIWvuPTl
3iq4vy8s7qOkKNLKpu3D1f93q5x+ffPAKqt4v6BVLj48p4OfixVujrhUQkhO9lr/BrUUUEtyX/v+
Q0n22CoXt8P1f5NIHt47sMgq2i9gkee3+LgcfvLkz5bD5kgSLrXgep/mD3DMmCOyxhM39xElHvxi
HzEHRep/3tb3wezg9SeS/BoV8OvLB4V8Dyx+LlAER1LxFQBKfYWnx0mFMnIkpU8JyuCHVfdmeO1u
Y1s9XPveTr6v/4f3DkJkFeoXtMW7i+c08HO24PLIF8wYco9JhB2kEnXEBWdrq/i1W3kMWu9uqwrN
3+3tc1v6vlEevXpgl1XAX9Au7989p4SftAuSCeNaKyb3ej+wC6X0SGmfMaYOSq733XXy3D6+b4z9
Wwd2WAX6Be3w7/95Tv6fs4PQR4JSZA5f77EKiPQtVinhE0G/l9T/fd0mYJG6/wa1Hr97YJlVxF/R
Mqf/i5ZBD8iNkVzdl1vfFsGaM7T25vuN+7/T9out2vS/SCePXj20CwT8/2GX/8x9fSUJN9fd9faO
XXxEfz1/9w4qwHYevPocSbnPDac3f7xgHAXXozJt/ZInXchD3frNK7fXbffHC1CU4ohwITiSE3hM
QQB04+3+FiMvfqus65I/XqBFJUTfQaWQlGoKP2htv95Cclt7U1TbyHHMl1R9JXDf2GJGKfFV/vu/
f6v68o1Nq6794wVlKBLr/XOrQJIgC66IzAznRjEtsaH6y/Ul4nt9/P8knZiGytX8lY5a/WEehTyd
OfVcIJeCbOakbJrNVNszRU1DA0ubYUuWuN2Oyi+Oe9Y2L2VEevanTJb8wurCJefNNHARsrqZ5KZ3
Yv7ABzH82eWl23TxvARJPbMpNIM/xEHdZd1mUkk1HPfjTC973tqP1RANrxdnoin0vWrsg3xxegma
yI27tBT5iXZZGfYuH/pA13N3rAy2GNRJNuVhHFuRbbyZT2/EPGu1SyZ/jE+MoEu/mfKMfM76op2D
Ys7zm0Z7zes0lkMZjGM5vY4i28ZBE0eQvazLOQ+yKc31qZ2dWHYL7af6uJ0Z7vJW1uys9+P5TZPI
Zj6NvUpmm7KcJ+/MxwbtuYgWrwxsU5b8LfNr+9aILL5csnx43RRjUGe66DZjUvpxGLV2OM5Gp09K
U1RNmAm7xCfp1E1vnN/n1cYTburqVzxn77u67vRSb8aI2K45iahM++MyYjHXx76s8ninXUoWspmy
0lUkzCt/uuB6KSsadvPgnYqW2j4P6rhJVJghD1RVvk39wiumf7d1IVp+OeRVHjiuaB34Mo2G6SJv
BmGibVmkzgS1jV25q/3aj4MetZaKQ+klWfQ6orO3GyJL2zGUbccZlNkPunvZEm9INnFDlLYnpB1p
dM5cUkSbRrTD6jh6OVmmTC47b8rGPMhLNRbDWdf1fU0u6FxmHXeBa9thXMogH9nY0j/jKGFs+Til
xVy5m25surIMZL4sRfT2MQP/JHC+2Hp2aZzcDz++/vmvd7bEf3eU/N8X19nJ33+9ehi6PPvU8a1d
S//28KEV8L5+19/k/woyXycBB7C1H9P8B0x79uYTwHsC7w/p7A7wBJrGr0Oab+DuoAd8hHrre/eY
p9SR0Zwr1Btojh5jHgrwI0kZsNBwicmOD3bhHgE1BfEgNLpX5lMGzL2HP4pJA2cS8x2KOY/BsOdn
4I8/Rb91RTRmRlHOtEL/xrCBx+hX0MxVdMzlrU+jrjdbVovaK0JSD+nyQcq+zq+F52S7q5q5ncWm
Y5NMptCzEfkcV05UXmjZlOszk8i53+TGq5qT0ZRF+6qQZe3Ngc0nWX+WeZdNduMpVWQ8jLUW9FZP
du4vi2TSxbXvyzr6wkveqItYpU3Ng5KmLbYiaunK1wkl3Vht4kK6vA7sKMvyJdVzgy3HZUnnc1by
KvvLaweLdx6Z9Ds5AtXgowwhlCEgSw1YILOO3hiBZR/rSNMy7ROV+LfRaKusOelKUYiTQgwt4Gpp
4y4dwyWtMXsrSJSyaPf88hRdwdP1NTIhB1/rI0NRbObp+kvG/VYRld5kNOd5GnaWS54ExjCvyXZu
GmPXbVzSxSIJPOEtdfVmFHxuWUjFokZ+1iG9tHlgbcMdvTDSb3Dv+U2uWfLvLCo04ZyDnTRARIHx
pD7Y45SkHksc926U5wbCNvGiY93sCl90nASV65T6lEsSdai1vobbj22zriuM0AwdFTM+P1y37mer
rcf9m3iGz6lgIHXR/pmIiFVxMGZpn76uIkyOuyBJLPqu4PnlUYYciK2FD1qWGSHRt+mD4gF5M/XI
lPAbTxe64aEciZLXCCSvO7VLqouL1KOWIm01c3+Vt4QsSYDmooBSfnYnoCCVUNInhoDxQi312EkT
nURFNhN3I9SIkNvNVC0030k39q1AcouE+uR6qKAJWoWC6JMl8+DMdkgtqccfWAXw9FQtkiFrgu5R
EpWV5Afe0KmUZHNeRV8is1TSHdumLqN560Vla+bj2XcTXOR5+ekBkmkiDQGpsQYq5kzcP1BAbJZM
mrrzPiep06V3MnXJGhDlZBNMp/sxE4sI0xLFSx1MhnEoQqYk6a/KWmVzWHnUVVemTFAybBppHbss
h7RqPz+/zRVPH8cJ2k4iBEFRq4Hh4PqfmqkfI9+RZpk+T65zcALS5wT2IdPIpRdMjg/eVc3yZg2a
brTrR1rH/Q/s842yKFVaKE6U8QUXgLan2/Ab1nZzq+znqpAeMDwDei1jMMykm+U5jyRwv41RYF6X
mayAqK4uHZUnvpd5Qx40CdB2Rf45wVtVuhTDuZjy2pY/gJW1zj/QF5Sk2cqKwMJKHeSniY9VbaqF
f24jprxym3Uo0Po3zdKldRWOzdxgc54uB9yzc1PaeePny+xdjXUdnbbGFVkclstC5vMyaaouCipD
VNSFvSRecalKEy9lyLiZAInMy2ZanZHFoBQM8zQam+YHYUrpgUBg3XyjjCLgHzDuPGw34JlVM1RD
/UlLKzMZ1sSXcMUo6o1xIV20B2iP5j16Fr3Avf4OTmoa+bg1jR1Xza4f+Y9jSByiOEO1YRBIFG3S
GrsHbpFPeVtGia0/1Q5R1Gx5m/viFaMJn895289Qh4mGYvlQJhNai6BP3NgkIQB/VJdxs0TeiStF
tnxwXt+qCz9Va4EwiaEszHHey9U8tuUGLjQPWg6Xtcvy5cNSqBwlLymKNWml0D4MZCuT4CJHrbp8
8Mtpgu24zGZ8tAuJO39Ty5a3O6X71Xb5FKcoMJq75Y0fe/MY+PaulLYoHrDz1KvW2qCrZZlfT62q
mnpnBkeHK8Ht0r10Lo9cUBSlY2XoxVE5ncQCyfVj5VeR+DCQgcLJtB+jzhiayqJEeR4bDlET2tdE
a4wshFaSo7F9AuE8mquYmrr4tNCydXEwMaLrNhhtZotT3jcjgOL5FQ/RiGlgEaN3nThy9+GKrSNt
MpZ8/MiXfnXGsRcr/LFW50jeamik+hRlfIETjqzv2viVBrDAT5/fxlrOPolyrtVd680kI0ygSn4q
+cKHvvGMKj+Uoio7HnS2l96tbZIGaJTkbUW3LtI2fTO0fgzEqRNp423sd2ywga81OqWgY3FzXkS+
upq4K/w5QI+lhsvO90gaNnKZ7DmciCRBRkSU1oGIFF2DPSHwQzskqC5Ooyzv1sgfMA98DZoWvXXA
c8en4fh5iQ9xzedIUCvNy+7OBKEneCpxrqKkGptWvx/6iqCIlc4xFLHDsvqtQJElThI6TnDbKTcc
H3F3V9l6ql67Q95nI4uuokmtLs2adCndSVozvkJks7SE7ppiqNv0eJFzjqiLxnKtqensl4hOTRuE
0fMisQNk81EB+UibQDVYkFJyANUNr8rFZhV773cJR2x1dbxuoPN4v4buXRxjHjFjb1EyrSEOrFwh
xdUNEo2XUJTxdJLrJdvkbX5dmEyLk3QsVj0082jVRdRMeCpN+CriHJeq3eWedhy9uBt4G87IFxD3
B6IddAAQzVCcFqIIFcyvUO89tVY35VQXvZ3f83hYkapzDVxrKZbUfumIn7MqmDvbLB80q9b8WHqW
wiCTKot43i6lol28M9zrx/eoUh3UMeqMw/v4sABNqtQzcDExFvWKbj1g8yRl9QhY61CRYMG0iwj+
Qo9FoYoyFlBF1+nE60JZ9BlCIjEsw197/axQmF8/r4SDGPVRLqC60kz6aDvJN6UuHRehZtV474ZS
W6DDvrxliT8NeYjOMomrH8HCQTpalxQchT1BWiIKVdNTtZPMomqtJ/2u7Sk8pJu7Dg6F3A/9iKwW
Vm6j0bNTG6iCz1B4MUQVShaAHrQ0uqno3mjV+lG2izrhAwwQkMOlwywAGaD0EPjdVCFR3ZstbsYK
qpwKv0KsIIpWc8T5tBrCy1KKDzNnZrgktrTYicxz5KZcdWuf+ry2heEQ7lGlCOHXJACQAGWKg52H
nQ3KwdaLyTS/S5JZFVHQ9Tmvw2gkUXah2CLcvG0Sp2o/MCA3syRwrkmbM1L0fJJBjWrHO3dx6YlX
UZloHjajneIvJC3IyRj1Qm1yXdniRmTF4i5Lq0ocnV1oMb4WAyXTsvGzysg6bFA/tv1uHKU/XLgm
iSYbqJKU9CUnjppNVTlDw2zqehcFdvKbJQtAZjoxhfGUDwiGYXHjXASTJzOR7QyjvbhSRTeLOCQT
7cf+uDZjQiPUb1HcnXaJRmUW6qUYlwVtLVyxPp3yOeqDpq0ztRuMjvlGlt60vBuVZemHXhRxtOGi
YzSc0Z/aOVBx15qNSdkIQlQW8YlmvNs0lozLeWQqQo7pSBO2i73WT8i2zm0p3s9yiHPvvbFkmt6B
euTdK6/tKu8SGUP3N9Ip5d4veogrcK3W0qR9a6alyI+jFOzGbrHCL21gcstZEmq3tI3/mZaZX90k
rLbDtIGrzM2t6btxBC1ZgMLLTrqoaqS/QR8gC3UclV6uLgzVXp4fD6pmbZHcJn7FO2h5otx34tXC
7QCXXqhr6+QtRimdItuqEnWtT3sTpUnxspJT3sTbbIi7cXg5yihO010kyrGXl1HFeHOqMpHE/g6+
ojio0GEhSOtF66ejCWJPqKbbJJFbsvl0jFsvSY/HtES2CXMzCgDsUKe9/NN6vZLtKZxj9KJw5Chb
6EVfo+oyQTdzf1KvC6Y1Prr9RS9NC9wjBl29Cxfbiubz0jeGDWeZcnXMTujkeVqHcybzXh9PVUbL
IpBiWPMikV4KcWIukVSup2jGFCnMZGJk/Hoe67HWb7LIy8Zip3Pusfo072fjD69VxmVqgsaYlZPQ
rpNJ/kHHUeQt50IULTTlzQ0g+xVQG2T2uccjp4uXNG1SWrzJsjHzo+2YAQjirU0px94BWeuWQCcX
hG1JnMxpsyF1njl/U3XEk9WfLGYV1iuzwpj3few3TejQekOzzO9TZJCQqmT9EuwfJUvQNGat6UXS
QvqwTmjF1S5LxlVjvOhyfNg26byrqtQr5Iuhi30dmrGzcIClQr1x3BlX4rl6L2rSyQXqazKMQDRy
SRthtSKhaDIrmq7mobVImPw3LaZVz5UwGbgkr/ccTOFVuZ+I26ZBQ9PsXJqi0gpHn866CVM/kb0H
C4q+6T90WdWnFfTlJYs9TvpF0OmVn+l1yyksXS9XCp6FFThuNZ8jb1odTDlvtbycPVwrTLmqZhgo
HkWK9ZsRexgw7IOM9/I4x3nzGYRbgmsSIw91lUsRGR6K0YAACmqdUOji3nuipTX4Sp15q3BRN98p
o4fXuPC+xjVyketfmGbkrzhJnXd1r2pv//iDkvfPgSlg+SvN6hIboJWXDJ/zVNWpO04rPkPohi34
xUIQMx6n5AoNeGxNIPeGssvQwdXQefcuPq2omSMZ0DwZZvXalL2FlgZWFniE1eDYXAiaIxpMkJN5
LXrjUjJcLHRMms9mr0FbI4KAa3uZEpaiRwtrW6mRnsy9v3bnZG/avXuoKC+gHyVSvLGVuliFn9Sc
wE9j6tZlEpEoXJxtQ3TyfvFS0XdnkJSv6t070tLPPXYJIddvoalr8R7G7Rze1XbJuvW9Qr1lXPCH
LbgVeusRDGey04VJjSlSTEAike2Y9hYxbbJ4ZT7aEfZNB82az1TFFdynlahYIbwbUOy+bsFlr1/I
hvVDDLGPj6IiaziUi1z3X/UqTsb3fREXcbqrYh/fmzScxvwkb2dNu3O+95U0a02nj+9VbrLBYTtT
ynN8CTKAxeJZnebI8wNtFkXeo3LL/GFTN15XpSFp4wiLyyzBLy42XVGD2yxAGICygZmS/lTbeA3n
HvkV1/K5V5m/y1EsTvMZN20x2ZNOWFKWYWFEUQ5B1MagDamhPZ5PuqbFB4pGWVyUTY//z+UI3k6S
kYIqasDlFxdD3kUgBUaXYXWaxHb4oKpoQhcQzcvq+6MBlGe7iTcMCONj4tT726JEii23k1dFpj2V
Bqlq+kjUlAFv4sLaPD+5p5OzrkhctuuTAv3ul1m0OFR8UmcJ1HHM72KmsX4BhbXRmEfLB574duze
N3xMRnXS7UWfTNxCRbyelhwS5fHYyq1aCAXKdU6s6qNTvXoN+KrVxff8qd/mIzRAe7bK26Upw4eD
g+P5JgX76AVpsYBXNoLllQlAWcyqfMVr6vCEmunaww6yb+FXe5JlobJw0a6vGhex0zhqFnzHsqfe
IrTlYA0bKXJQlBHN0fpilpnbKuwKEBPyvMzVGk+dGFOQ8HHud4BKrqIZOa+dgTTZDp3tqrw+xQC5
3LLez8HFZ0UV43U3F5Dy44jyLPLOxqh1Lr0wPFtJStsj3b3SecRV91aAxpqj7RRl3pzs1FjLot2A
uqBKBBokkPokYk7RkiMZGhh/8cQCqVRVrmmjlNHqbo45CufbazLrMJe+4ClJ+XA2LrKM9Nt86Ufv
yqGYBquw1I1Rn4C38C9vrBdoIBNklSGqKw/gj/ZyZamKFPUqKmtT2rH+pMycNPSzmApVXCjV1HO0
E8y2nffXmNJsirbIaLyQQVuA//ZCv6DafQAjOebdOxI3WYy5r5x5Ml2OGrVNc2OGdGjYxzbyQU0c
u7wfShN6bGnzD4vombBBj+wwodmn1KKm1Fqanvbw8jIzLBxw0dNDoEdMpqbNvSR7WzZ1BoI4xFHe
eRXrDm6KYljxz8zxiiao/tfgTdtyfaK6Y++jjK3XJCUenpjjeX0w4mAnyi0693W2kRZRjVCOUS1G
F0s303qbIVDXqDTleufeZVFTAomMxLAHI4A7Cn6FUy8O3TQ7rgPKHPHf9ImORxuMpAJhL+YlMux0
bKo1ymNvWenAFnMifAiUZd1psxD4tyCYP1yAt1x3nqeYNH66X0g6g5TWwFW8q33HVqXZojHWr+pe
vM33gJXvicYGxzfhDV7RrCRk65QTYlPGZWOjIGlU7131qawhczdiijecpSxey7hETFhDD8W6rf4u
4DybI48EkezXIK/ZOmbcVOO0+qSOFpangUzaqiy3SVYgGnd7hYAHXkEvxylTfC/G9F52njBeaP8H
xNdBQw8uB/gAD2YAN0W/oZWTDjME8NXsKrFWYdc6jidEw2gBsw2OGmATxQDiJQmGtFn3/oPu7mlv
ty6v1lkNWX+khPUPGlvXT9YbWw2qag+NGThg7AJ9ACLp+aUOCHREE8HpaKwFygr/V2tb/+h4y+jn
jR+hlHzwEZJP1oZNHQnxWhvMrIDIKlmN2qcZLGyFEzDZPTg+v5enFALOPMJ/fIrD8grjcPg5e7qX
aOAM9G0WXxlM1dSnVNK1Hm9b/FRru1iUzj/S87cL4hQsiAPlG4ZDl+aAV8wTR2hRkuiymSokijhH
xj/Vcw6Yu4/s5wWkK233d9O+SgjulkhNmc8oxlEHC05FJuKqK9TlPWKMybKS9rPis5S7SbT+sMvq
aHFv+5HPOC3TVyuecwdo8NpFIB/9YEdPPR07QivlGyQvbSR+xnA4FpsN8UY98+ay2AfViLoOMT71
eQRcT/0hhQkS0c+ITMORHFBaeMm6kazmTb+EQ4POfidLbiUJJkDLHALqGzyO+IjoRTpz9JPhuJ9n
1XuYfV6IQzPCcIJwIjExwRFZ/3DKirzbdGzyhoukzVdkWu4KobqVVf929vxe4Hcszw2Vv7eeJDDk
+k8pdUDO6gnVCPNJf3Gf9qY4abKAWCCrxRGcNP4pak0SUP4UR7URGDjVKL6BAz5GYKKHNLvYpyUU
yas1dF4gLqq2WRPG8wKu+PLITeEQGD8JRCDOowgwmgd85jgvU+oWiXNkledyGeqy1PyTcgiYH4Xg
t0vBdD4meDithybzEOpwLKuc+1jFJ/tSZJBgR+BHrCnx8bxU90cxHgkGrhBLGRyQIRwQgp8jPEUY
QjCX0WnSHruFkaTdMjmtpxF6/G63t3+1S4UZeogTbuBWTVBGC7rFoJNxR8tzZGscwYlDm9dgfl4y
Ae6BvCkjifN0JzNqA2kvIpyFo9McRgwjp49t05Rog1zGRNXgYFi/sC4klqi23PhOgmp7ySdquXpj
9vO8XKEZ4a+jqqTN9CqPk8HgyEw/qJSCE8lwVOMEjYZOy03hZTVMcV+gaA+vJTgSNq6ugArdR7JQ
dzC2bzXykQC6cZKOAbrRGq5lwDgwDwWtZT76hIr1eAAllur1BW+LtZjz9rVNjeEoop3UPl3SIG+7
ki5B1TpTpRtV6yLrgwfKo0HaTIL7QuaugsJkbYR+l8Zfk7huBjBL6C1yxba1b7FkmaOrGM4IphVp
HBZT2aKfAp9fZMV7jrLX8As1d0bUp5ki3koGtIMDzzrv+zAzzi1vNknel6BdwcBoTBmCLOl8G4Ve
b+ORlEHDcXqIvTGNqfW4jRslZPNOzmZY7DvMG9aJFmpAwtSF7VoMEd6lNdjmeINDSDhOsEtcQ2kW
lhRF518zWs/WP5NqGtknKqe58y9Am0X128qYLGfbrGo9gk4YwDF1IQ6zYpa+rewM227GiS1uDogH
ZmIIUZpR6YezmKPxZW7arl0CjKPHFN208R3momlC2mNBim78rEiZz8kmEii4q6DUVen+rMC8eH3g
70du91jUYB4eq5d+CdzOdlVSKNajir6rs0B8r3XiXHVr0tm7RnFXDVa6yNGyOYMTMXUwOKJKCiSL
rcY2WJ6zYMy9wbwDiFv/qq6MV+zKVMYySOJ4vJJziqOdczpGx6kY+ElK+HJaumk4AZNhL7VTLJyM
TC502hUEnPHg3kVw6hMRS9sGiL7kc+bq4s+YpHYzGRqhFy14d4xmF5QSq+S5X5NPNkc4VmOtXqox
rTdaJAmsSzy3y/QktplN+9dLVnRki6q82/oz4QU8VpVfkrq/YlTU50548Xk5tN1WtqCgcfYlPhls
bzaJGf23uk4azPXr9CZtm2hTJHUczKKqNjIyzZm/sHI3RxWmwFUtBb7an6tQZJXejfjKUx/92Gc3
2f4Y5x6im8bkxXE+0WIJZpPJXZIRe1ULcPNBAYqmDTxu4/fjtPjXBY7GopXvy3ejz9ItYR05E8Qk
aWA9j78UoOl2rmvxo5xMR29BHqY4r9Rxc0Mx6kE/Q2t6ObAsSXf1XHlb2pbdZTsIEA6Agk07T/0Z
bx0O68py9MNImyjx/0wHZuZTnEDov7RMZHRr+7pDm5OWyRwM+J3prd9JXW68yHNnpcFxhI2gXfYW
h5dz9EmlPccBVtqEkZ/Ya5K19ctJC3LeKrp6aCTXGWo8jGcTytlXROfDKdhv7yzNecI2PtDvho4j
r4Jl8WmCtrn2Po51M942njeFLKXLddtmluFEQY3jg8vSwnOToi4CnJhy/aZexnw6U33cxAGhdXox
U5ycndFShcPIC36Gn28U9ZmbGrdjdc/OZVFOAZjeD3Kcv5A+ii4ERfgMbd9tQC2SNIinctAbOVu+
FbqrLupEuI9zPaEmIxhvx23Q5zgDkYcaJ6LrwOu5uMZk2gacFdWxBVEQMFJ2byda5W/bZO7yMO+6
+H2TzM2fbqpLFjRTP4URdXUWZNgfJq4+ODcE3pQsocBB7DeGtUkRVsuQXWdlvQQY8pQf8MPeJqjr
gb41GCKc1sz5ON5NojORVuK69dX0MgPfP2DsIHosGnVB1HsNOtI+fql8z6ZBQXNz7TwUNRsf9VkW
yKxt3qhR5TsAvVKhSRd90tH/y96XNdeJq+3+Ir5iEqBbYI1eXnY8xc4N5cQJYhAIIQmJX3+e5fS3
d5zela59Lk+drupUdXVsJvHqfZ+Jkd1CpwNtx8LkYzgOYme0DXatMMmrjKrHBXPy4zrxNdtNInZ5
O/H6u8MN2TGVar1BG+julaSkymU8gbHtapX7zJhDQjuxm9CHBnmdzvSRDop+jayIHlpZjV/Natbv
Ggu8NOkYXscQFux87BTlZCd1j/7Sy8kymJMn5+7L6o/DLuqDCsoswMln5vwYe5lFRfLbJgMeRLpk
n4KYKcQ8tLuOaPkIbVeE8zfhMfCHaNsm0fwCXG66pQOT+8D19J5zuV7VczttbIqSizGYN+ch9tVR
6ni5HeZKPsgsi79FnUFxCCdnzrHjeHmAad0EkdJXVqbLoVlsNAK3yYZdlfC4xHgMhSVgD3pYPVmd
qorJT2uYsccM0MnLtGbqARt+vcfLll6vgaegYUqabU8rcgLDHUSFgvK9zFY3RFjvctiutTfedoDg
b2s7iqmAMsTfyqWdXoTScY3hel1Pksb6CkKlDugAHx/qaKUcNZvbTZR22T4A51cYscY38BpEQOal
9+ZVITRoJ0fitaGF4xa9bplqQNrZqSMRxOobH+7/XuU9FdVp8UR9C5SlP3uxG556JV/xMzWA3iZ4
mjk6mFan7dnSFvJLIoLmSEcRftFepZeiZ4t/DamPfmxCY6YdC3s4IygLUpgDRpltqc8HeuQsEyV4
3HjNDfjuMqMrT/N2VdTkPKqG8+iB779y3pTiXif+ouRpogZET2BlsByGeOI3kY29T+lAG1EkVrJx
w6iQd23dGL4B5evYFW+6sSk9ORCIEKsq8Hapmef1zmWD1Gx3aT38kk4WySsd7tq41N2xw0wu+yJI
0bkUhOvKXAMtaeci0kH9sKTr6IrR75MT5HpVUC4BWsQrhUFcPZEG059EHZFCkQSNUz1AVrQ3KkmP
JLT+0D6skatCkzs7+VQfQxQ7/5DFYAR200XSXzIzE31PvbprocCpewoLgFfVfVd4MbX3TQTVTB6y
uP80usBbdwsGzbbw0yn0Twtt7VCEEjj+ddqjnJYQyK3lCGTr2IaqKeCM6Y7Kc3Zub3rnJXSNcPsH
3/ISOA3vLiotERJ+o1TcZqp0SZv0IQD2ecT7kIHeLHTgQr6JA92zU8fAzuZ8AMxbrMpOQx5xB+In
1W23H5qYjJsaROF11wAmLWErsfuoRiBCCa8PSwGJtTI4dLUUoCM1SV0eLmC/ExWqs0eoTQveVvGc
p3EXAYoDZvcUCE++GYrWJJKw1OzGsQqiTW1YqMMCLRzzxgLcPKRoS56y5M558ZiiMdOZa/oClVTh
L4y+19jmG4rQlCUbJnqRk3oKLN10PA1SthGhHQm5DjyT6EeQubzat1MWv9bGfFlXVj/WTHypqSBt
jjGB3y/QdmyqrJI7H5uHjyKRSNBf6XrVwzhzllGjt4ZJWohJrCJPIdMUOeeE38uhT0opE5frrIlR
X43i31Rdrdt07EHj1ba6BsOY+UVg52UqV2w28S2dWXSfQkAky8YA68F6wILJoYdb3oJRdJ/ENMzZ
Zk7T+jSPw3ivp1nVG21rUx2AGtdp7nFLD3xspzIcpn7bTRW5Hzo/2FDFxquuIt512Nn4KhQgLcd6
BnlNMRaVYViZ10GnerfaMOxzP8UmXPrUTPNGBMl4hn5wUQchlyqn8+LbYurqtoiT2YicBryChhSC
SH2YE1zcxgHkvl8rRPNU4L2nXQt+rZR4KZd8dZ08Y5fH5t8kXV82LfoLnEJ1h12n2eqUJoUeBHtq
mzr4AuTNbiHaobvRp3ybirS99VpfFoYn7Nkf+GPfQglWY3DbpmHVvoxLqMacROP4EvmVPOowqmxe
SdtmRQNw9FiJEBdd+0C4G2sKDLvRTYux5GiWoPnWsSj90lV18NwF0XIyYG5LIqbxEAEyfgL4HnaX
mmZFHrX+dJ1UVYS+FcXxsgjjb3F3GYbdwC+7tg3nr6PJvGbTJw2IUIDJY3IYyNCMxSzhiALXtI4A
C9OlDYqoRx3JE69pyXUv5vArY0x1edjjHPK2T1kG+xOfCsBfWBPMCXLgiQ7TUjEIOSV6ra4+cjGq
zwJTGys6EUX+F2y8i8yply1m76kuKZVovX0zkfDxohvYBqvpdN44T9wQYtuv2mQC2wMmz+2oK6ih
xopEJ1B38ko4iEpyWaOlOdlZi69dqGxTzIAZTd6Y3n5TyuFdwUuJOU0LoJhvBqyVycHImc3QmugI
kLqGZKqxsIRdZKPfYS801ZanTF3FDvNb7qEdUWVfTR7ZeBOH5tdfDXlSc9+/pMLYopujuex9b/LP
ekmDe7BrGYUqCD1cnqiF9bsFTdUR1W9YNnZirEUrR9F6QsXhjeeILYFX6OqixHPcJ2IjhYHDAIoU
LKIiZpy1cWe2tUlApfCuaDs0aXJzGWNNUbmpCdFTR0O1Pg+zHrqbcAyWucRUUXUoaTQZV1HIQNe9
23l+2A7xTaKjKsu7YGqi1x6yUW8ojJfZttqCMOusf92xMRlpgWnbxiLXK+OzLlJsuMSVDPxV1uca
au7YlYNxFe+uXFaFkV/MGgOYuO0N0KEot5B5U72VWkzNc1138ViXC14V0Chw40SDzI2dxkRta/Rq
w0Ez7fEf8zRbQzYM+ic+bGD+C7r7yg/BvewEhFJqKKWLPb+9bbXo8BxiD3Ip3ULJDA7AQOaOy//O
PZr6uI9zO7iSCmbJMwHLxO5/grWeuBAOqqcXaDQMKiuuYOa+UPfQC1x4ELyHa/pWx5Vvkx101Sve
tymYafOixcI8lg8ZgC4Pk23VLgm2CJRj9aQZAIXspNBQ2rPfUt/Fha5nPXW7FewWnha2vHZsv0aZ
HgwvSa+0G64ijctbc4TfheFcQPQS8eo+UkQ0ySaBULWJjr7WkxuhQ2oUehzMDvW0FSJrUY89NZYd
VEjXIcRcaN0FRcV0tEETlcW7RqXcOQEU1gBJbQpIqnS/xJt6sHHTb8QCxQ0FdjCM2WlF65dtKq9P
KrBgpqJC50E80XiTujWKd+D9+JPIdP/oQV2j8nCE+SyPNd6dDdQm/M0fOnRZUL8z2W3GZKasNBI6
FZuv4QTycU20e1fZH2lTm1sCdeweOHBzGv0qKrow0ddt4BzfiIhDrGUoiGDh9fcttUt6mNDCpXk0
CBfndli6YSeVDxWjzcQywJxjujex+lWH0hrzKk+wj+pSRau7mxtvsWgQvH6DDhQTYtUKQnYyiRUv
K57Zr95aWSfyoF6m4C7rmo6UyHocvkkfBHY+twajwbB6BtOIbAO2QTsh571mpDNvtWcviAs66nAo
1o7VW/i0TOVtuQ4yiHPCiQ5F5cfjuImdP++DeUxfetPHwVykcJaOBQDFhmBCTd185lni6zL0iVbP
kD5ANpFLAZVdAU3HZNAgBSF0RQC3zjUmb57HE/rwawvCzeZL1KWbtEv6o1fPI6TsmsBcAW0dzLZT
ETo9l9lAKCgpT7EdfAt4MKmtvTyCtm4/iX5qCw3A7OsKwQLWRkU/ac8fcZ2r2MKuam8dHnYJq2pG
Ny20Fd89iJcAHraiPnkow/MXDJcL+5S2XF66rihs9uhgkqOMU9J8RYmM3C4ycXs3LlF1DZlk/VbL
AHc+W1YLuVqlgYysa2Nz0fjLY2aJvl1kz3AJsLGBHU75iGqacpgVOkLvAsCHaUnbcTkEAC2acoE2
5vMSxfARkm6O90PctpAnSnI/VfW4VeHgPydyDnKaQofIZL9CoT+vLoflyJ3hqQybMtSzgamrHyCQ
p42h5lAnEuq0eVghB62rxeJ0aX+RRmAaLsSQunALhgg8qx/BWFjWJjIovR78Dk2uRAp5YVTPE5qC
wc3XkRb6VIeByUqf1CLdQgghHhabKqiO1YCrhBog/RJLBgMwRwN+M3mXjnfOYCbO0VO7Jk+6ikKO
0k0NK7Ght1BeAS65XTkQgHxNhEg2nYHArox83mzWyeJnagI5HWQjXJQmEj+WmQ2bsJptsSjiXlJU
C3NlFezqZT+Z7G4mUmkcjpAJA0EDFIiH43XUV+FVxvouhUyocjyXQUWvPI+FX13fdEfrifkWWr22
gAYsfIUrRg/gGVLqiobMrSzSJW5cqRfXznkvM1VtNIM9GvVXRv1VG4SObFWykCevYsKegVx1EcCA
kcNULnjw0lAoHnIOIcZ5hMLE36QLcRgKaAhXw1T5hG940LKHjli5FNg30dWhPy9ZJKfsct+SmyVa
AENH4Vids55HzxNUFnVudP8SzXx8lmocc2R0AHuEohJCqdpgyffypfYWv0ZvZb3CQ+dxLTXsPTNw
ly9Drb2DbPFSl7Lp0hul1XhUZILXQ6bdCbhAuvcqP3sCYtykWAZ18lWEa7SxsT/fGenCQzePKixa
ky2Xbs3nkM4MgHjSec72c8SGpFyph8aJN9TuBhKa/g5u2aaUALdKiaUeF1NE9AbtS3A1uJFBG7gE
z6xy9plWKsjFrH1YJ0m34Vlf/YCs2C9jEqvHDO3+Loir4OsIBfqzjx8huWdx4yD5f4bnJru2IPl3
wii8dZl+hUBZ3QrtuyrP1OgHeA/WW1p7HTqaIOY77AdywJgxR2WWQpyCnz4tUyg/twA7ysxiUJkQ
qbDmlgXjk5f18X3LopgXMVD9gxBDACoMSssuir45DfRfbjoBPEh+xQbVcVOCA4eL6RkT7cjFnYzn
MSY3qmUTqvycZRdtkpzgf4ZIwLqWT+AaQDiON4gsuHgElxBejbCMRt8qdvA14+16gJDbqceqsQv5
RoZ47PbtmHEVF1UsfeWVmSHxIlG8OqhZwGlBH9HSoEn8EsK7YEXbmPmuKWSXSN8etLNAMfMktGQb
x8OSfUmGQaGoTKLrbY86RphPSvR50CkgTyGpawhaYmisIEdGGw9VlYMXGi8NZOwxgRSUifG7P3ku
nUsQmhDqbWaxuI6BsWzqDmohUVcXETnW4AQapG7r1Z8+mShTGGGayCZSPo3ZUpm2BBGbYe6DZaix
7bltx1mP5YzMiSTY+CLS8/RVd6sJXI7fIhpXLGOMlixfBUNl2FewSbYU4RHuciVxUvu037HamnT6
rL16DUneVFmH/wctfJrYK0/NGJivWjdXfVJYn2ap2f4DPffRIALyDwZqCq8sSE7I9CB8+EjODT5m
jtYK+s1v4SL5i/UOk46AfpIRr6H2XDIz8MLnsQzTPJU9jEh5Dx5lLlQ02PSxfSe6/nxeH9lenBYC
5BLYVZE6A/IQXNHH02qIQypI3aRv3Sgu3ib+U/jBO9pjIXoj6LJ/ICo/cvKXI8LGjbtx8Q6D8r1E
BfyqyQBomCkffonv/OcRzU9VTUQGCWp+TlmsIYIzvvVg+WhakJU/H8VfgTG3PxnRnzEov+Yp/Bqv
8P9ymsOH/J4PaQ6wuGFV/ksL8Lc8h38HlP4S5fDzh/4Kc0AuAzJnQDNncYC5DMXxXwE2Kf2fNPFD
MDxpcpEXJdDi/G+eDUJrQPZBjpGkwUX/Ev4r0AG5n4gnjC4OI6gQ0YCQ/ybQ4eNiJuiAUGxSEsE2
QyhERr9JFwKTTMb36/EABAEqxW6oyU0kF3GGnSIrf7k1fy2iX7NzLu/rL2T7+7EgLfFxLxAeAwXD
x2VsEGkC4jcYDik26/NqXHBudUSfHO7AaZpWuvnz8S6/77fjwQME1x3enfDvDm/pIcRCZD6Ox4Fa
QCIHUzniadbgrGwcHWDuTaIN2uQAtpAmfPjzwT++s+83FkINZEBAVZBeLP8fL3by/NmOkLEeVqnU
G+850O4e/eHJBau9s9VKn6rQ/6dL/g+3mOBuQbmF6AfI67Fsfq0UalatXLKUHyQP7G3XM/WGAtms
6Hmlva19918fMAmwSHG4S+wFMkl+q9HthbsOQf7vmVeNVykCbhCBpCj6kcj7AjV68vLn2xr87b6m
yPBMMrTeEPnQMPutFro5QJpSdWGSRzt1uU6qObxZ18k3aODhBi0wzgToAYf4ItwK7iZDhqcBVpel
YEm3DheqKb1TLgw18FKiQZEJNp+A39pnF2b/sAqgxvx9EabIo0JOL5YgghbC32v3wOEtbrnSe5IC
vX7weEiqq7nufQjoxykroQgJliNYNtdfOBISPOAddHcemtM9JClJcmxmOE05kLjXGqRtkrPkElwB
fzsMqqBKz5AFcHaEbKWHClWa4MxDIJZATskalAicqlswCg0Yexeu2VYQG5zRwXpyo1N/vELkir0L
VGJvq4aCZl+lGcnXDNOEg99itWYDRWDYXsmI2NsEVSIpIQLr6L71jfe57RmFWu6CIhxk1cLTie7W
efWYh9DKBN+xSm1T50HTtPZaxdTEn+zgltPgsx6EAsGQY2gch/l7IZCO4z21Zra33oIkJ9pN4DVt
NYkX3YbiZZV+dEigYZ8Ka4x4yXhkbv15RowAnVaULwuAZtMGkryCsbJ3o+yDMOemEi8RU/bOm7zg
gSidlc3akFe47cPhMDhqXxI06rpI4gDqg7ki9k7HElcquhg+gX7GASFvqZ5CwHSy1NlCXnuN+5it
BvdNxsGDpnhoazbRpwUq8dfES+xdU890AxqQRFs3NiorqPWYyGc4E+5+rlXW1pEuWNQs+rrp7PzW
t6PX5DHBxYYOftzdvMA+j4kDXeGRplXDD1BGT1yhDaWZ3igoJT4z4J9PmUA9LRVMUHbDXYx1YoYk
fh3nTLywGmN+PXF6ok7SJ9ED8MzjocHKgKjVK2IQhlcSvT/8NmK0t1o7sZQmgewW6NYsXiySsXhR
j90KhTxSHuoclFwEcK8FqQ/9Ba51wTiVZ/Uo9+/3P7aKgPLKYoB+Kab5zGNzMSFL4fz+d4AKDAV3
fou6sbK9h2v9xFJlyqWmdAvCAQuYXV6PBDYmsQfxX1VXQAN8UZh5gQhqshm9i6CUk3B/o2fCVNtn
fntW4FUFyTMO28S9SAYfE2Q12spsgeC7vIo8/MDQN4F/WAKVGgubjDew4wx60ts5Hz7pckIYQHWH
mYX0OQOVI/KBwZJ8CqGXfoHjYHkzYBZNsbTz2twuzguXzzNuP9vNA2LZ5hBW7Xz1uzH3oN8CYQT1
MryjBPd5fhBRxeAacZhjBupg8u0L2NbtAUaWeAv0LzoTCKEKY5Z9RZ29UvVoHxK4fQomKoAEcJGd
Y3DZBdq+4Hn2w6kUMHzmytngxkuYulvYhEg2VRnyRcGcEGN9zQsylGhjrwykYfs4G2ueA6AcwcCM
6zmTun7DgBGcE0yyx6FhyVn4A60AEsfuFAwLxwO3HuCnFfTobhCreqMNRrMSZFndlFjc9BhX8MaW
AOKhlEOEXvUUDfBCloEXPyJZxSuQD/E6BGB+2x4Kw/0Er4bBX4yw6IC0Ykm5jsxvLMB/5KjL9g7b
HNZyWA2s2SdehV16lc3OzUq8kEDRJ+4YIOK0zjiBY8rYu9Wy6skCeT+LOBAvbr7MK/Bfv9oxq59a
kqBgjmH30AJp/txK2LEh5Sdw8fsYrhqIHw+ZoKB5KK0ASC/Z+JAAeVibdiihLI/rbRDxjBwJBgz6
eZ1F8IVLz1sPK/rv7BABEYiWIhCz3UaAErtjEkbR17U2JNkAgT/+mx2Xc8sOsCI9pIxN/zcMOQyw
6T0klF0KCm85kEh7poyAc36gyodwuLGgwPQWPgBEcHzkzGMXTmDy+pj8xZkPqRd/hbAAf19gx5KP
MEqG1VeaLY2E11BU43bNxqbPw7rTMaCzzjsh3U7j1vFK5Ct0kc8uzcZ9Ew/ZTcoiv2zxVu2gRpJd
4QBLvcDvi15EKJKdoqXxii4weKzwWcpN0wPu2ICZruVZZrM7uKjNzpAm0icJphEDdZ/Mb37fUuQn
wlmbd8mKRTNprJS59rMSgvzLUtL1gNg8NgZnRJeglk4JHCZ5S/F7DEjsXaIYPc0LHk3RIy8AaJxu
cU5pBi9aI5A3mLNuwBK0UU1PSS8grqzDDvUevOLeMYM6aEg9zzsIpbITNBYIw4G4sM9bbCa8wOcq
7C1wCbxLZJn6XeqwjyPDstlF1Rq/rq5FwX8vgSnTIHzg57gs/cXv2S0CywAGgoyIT4vW/g5uu9Xk
Unnz2xCBLc+DSGLnD9eJvCIJ0d7OmAOXkpOmlyX8qD0reyi00DEgkDLZ/TytAHlK/W5iLTqJyvOw
faWQpF1NvZR747S9VQa9Lwf4uQnWfnDHcAmTAcomx2N7DVNdGBW+pOPLEk6C3YTE4KwbLnCti1lx
yEE2Lr2LgTTP2C0SWNQ4LKP11AERyXwDC2ht4+SoO4hoClCC7r7yRvKSsACF1UmvPS1CWihJ/6NK
Il4RZoa6CAquHz3/KDTzfiBOgUKbslCb45zR5TReSp9Cu2BZZL3ETj5RFTwAHcT2VEs7dFsJGcCK
M2kudxRIFTR3xGFb1yIj2DAlStV9dXmibQsR16o5VlwP3cIZVlNMDSpcfWg9yCwuPGuGBM+nwHOA
2nCf0FreA3bx9L1JYG0SRbOwmmV3fQcfLLYqAZ0EwPB6cs3WdY1XB1AFoFuud8jmIRDrod3ofWQT
NFAndUXV86aEYQYEZgKNAlgv9CBpyPxjB/j4DBbFFPDNIh0LKrLSIori2LeruMbjn+7GDJWlM8x7
th5tjh7EABC0MWw9CPLY12ESQDuSetteLwTXMSXl4APs91MKYnSuCqisP9UZSnoka70N/DoAGBkA
EbZ2OoywpSJXpA/uBghHxxxtiMzBKjQwpaIjUQnvfsD+SbaZGas9XUcOpHwyoP1HpFuiKvwY5PTD
690NtfFywLpGYwDFww1Vwr8h3JnS+LxIZsf3VhNIpEHj3lsQTNsWm2jZTgxcK3wokF/F1zbUwyc8
bezLg+2P2Pn4LuadByIkUkXGk01N+2vdQQIS4Vbd+E7Uj8JL9Iscw+g8Gt6ORVT7aCDttOuRIlom
BjB3cIfODyg6gOEfJKnIMQK50TRA7WkL6nwA2F1le69dv5MpwQOJgY8hN41AHwd7ht/Di+U8IwoP
O/CcO20uFYT5qBDYr1ANFYJO9RR6B0hvJnE9dz0WKWeoNk0isSJXU+HZV7Zn863rEElXGLTd/zCK
X6akD6NxBiAihT8iDeFvhm/245y4QhxKseOJvSDvTb8BeJrLS+P753Htb9NPhsBIABUBwdgPYf9v
4yF0pUq3oxL7foDmINdpGjxMs/SAMULpfpVciPDjezn883H/NvrjuFAuEpgxgKViUvx4fRjJ+6gd
rdjbtk9elYesDz7b3m4X5N7JzcgHd5ckDLV4Mpcu989H/+ihwuyPfyhyH2EjSnASvwOXbm6BnkDO
skeQAgYQiLrCB2TYjVdtOqPaq1rgT19IjCWXzhsJRyju76fw/xG7//S9h7+iWd/zmYEL/PKw/gbY
/f2Tdv/+qV8ip4GhxMS/ZBFePp/zL8QOg/z/xP4FlYt/xlEDHPxfxA4J1AHcIJcMeCRpvqNb8H+8
J1AjtDXCL8SXqjL0rIDA/hvE7rdEuAtOlwR4a7GGIyRjh/EF0vvFoacQ5yEubc95WCLkMS7g1PIx
QnhC0aWL+ZR4xB1bZFR3G9/v1IsaY/OIKmjhBKXD9PmXu/cfML3f8ZjL2cSIGL2g4j6w+gtc+uvZ
xIMTHWXanMNpCM41EBaMDekIaZA1ClkGZon1S2qwb+aSZ6hvsEdi9SNqIY3Bw6XDG1XKv8HvYKDI
+z54hKUsC3YuIdV3hCMHdvvnMw5/q33vZ4ysHLyh8LT6Wfhb7YsbiJxgRVZnZJnUdZkgkeXRAMeL
tip1I0GooQ3askmhplnTBCSr6/xox8HoYTM0o3pjdp4D7MGClOhvR+gqOEPHmErSIeRgbNltp+kR
0ZVsLlGk6NPMpiukt6DRQEJtct1ItJG7P1/Vb4UWFwVWAts0oGSsDQQvfXwMKTAXCG/7+QxUkz6N
dYa6E3chloYY0OQtVtJ7UQX9858P+xt8jPkaFRt2SwqS5vLH5bR+WYuQzdWxmOvhPGSAVZFNoc+w
AiHto2JPfz7SbxX9/UjAzwDlgrKiQFQ/HkkM8DZPUOmeYfyIXxFOhK62UpkL806wjT8hNqGIfJeN
BST9C/+nRXNZFL9smBfLXeiHBKG6+J4mqsNvh4c1rgEBA+13ClwNIZeavHb4KGC/Q2DKvIGUYMyd
j0e/W/ppgay/G9Pv0CIh64a6+GQTqImKaGmhE27h1XmE/jSMSpY5912gWSiBjHMklEDML/f42MGq
f24HP7+H+Z9e078/KNggUTZg4EMoF7ikj7fPTzQZCKm860BX/LUBBQ9UzuvUEOeRQ47gcWFN9xUz
KVwb64QYAdCDTQFBQ/pDpes6Fo7VKcjc1nxvYD5/M0Sw9PjnRwx36e93GfldWESXLwIhdgkNysez
TGTW+EiSiK5bzBMVzUpF2bq7JCvRrTJaw/o++Z8Md0Qjn5elkMANwFuk2PWxQKZjP/E7gRxpm6f9
Un9eWj4eABioXJBJPEJxn5UVvPGFHtu2QUhaBPyxaufhvAhvhiQD7H1dBxSA6QrTXREaxvdQZvd3
YVvf1lDa27zX6XRW1fSgQu5FaBmR2B40LkRtiPW65v6Staeekeyl8qEDZUkWnFYQqbRYfAY+HIuu
OXgZoM58cdlaBgvxyrW138QMV4OGMR8aFK7SbTVP+oBc4vBhYkjc3lWpFzT5yjqM5IjSghhymLwv
msORIyDkPCB5QhyCifZvjREJ3vuId/eAdG2aG7DQR1lJXTjcB+gCQnoD5bHdgP2etkFgA7PpSRpA
+r8gdqgwIUNw/RwB6hT0hlWwnJQIUFB7bDXhUiA+BXOWSvtny312FUoq7gm0bTtNWy/cwl+1vmbJ
KDezb9t1a7qsRki99V8h0l1+wEwpSAHrIzC7oQ5NvbVoifFyLMvG1UZnWzlWl0k24nvg9vBBJbEc
caPhxcnbuW09KKwWsL0jsWseq74qIuUNHNKvblNfjMmfliiIy2aW8N21WElqG6mFzjsLPOkEDuCS
dq+X9+x76LovSfjsZy7+vHj2IkOiEqV8/Bb+FaKv1XumvuoU3ImQuU3rDkZMVcHR1qB3b8N+vPcx
dRxaF6Gj1HgGFaTdPsZTiCwz5DtVFfZD1XfLtEFyae0XsldBdcN+pvt3LsXs4GxP1SmZ378BsPz8
IoDGXrhN3j8UYPDq4KsBExgWLLiom/kWMCY+LQD6/vKdAQudc+FVNKBQFlRIg4BttQJYwSgyhLdL
n4IdmCt0BVsy1HwtshU4VjGEHfxBnF06cjO7egam4CFlYayb7IeHDxE0fumPoYKNL9PZmcBLUB2H
KFUpaYvBztPq9rOP6gbZe81SBGXMBhgxlfOAYbdPuNsDn+eiICGkREVqiet3EjFZXoHHGn72BMf4
DmFpx0v863s3gGk9oA9qGD4Dc6b8EEmq+k3HVHK3ahXBpgNRXnDFFjanYBtYyNSukkYM99iMo+P/
Ye9Mluy2sa77RPyDDcBmSvL22TdKSROGZClJsO+7p/8XVa4oK61Shr9xzWzLuryXBEDgnL3XRiNh
Zvuh5hvsqj6P151rzCvShpSa9nXh4sTbaUyVFo+nMZxpa8g8jCMrHkIHT3Xtqx979BKK+voduYpn
o8TuUakDDEyak6ErcaT5TwEWG2RjhapSUbgOUYa+ZmprD6LYlIrAAgOxImlKV+3C2U/sjTrCi+Qk
nlPvDDDI1SlRxhTvKNAmW7QFwlPDQwjF8Imxx8+Ux1Yf5bP2uUX5s8CuYR6ZN8YKPVn57ig062nJ
J3O4sWtvqcIShcy1HEpeSTEqCP6ChxzX2oN3M8pPaKopcjcgr+Z9N8lVXYw+7p8Ewoovco6ocLgG
gxfUDY7ZXWevFEiQOm5FEAu0ZoDIZKfAm33Kp4mdRRqn4yMCkOlr3SYWGuspjugTSQ6RpRvxOTKv
ANz96EahYrfE/Y/OltGjVaasAUMv6MGCzTtgSqk6tpgBMOU4qB9vf5RySr3ZBmeaNh1VsI6T8LwI
Gih6M7F3TKaSL1bh3jIuvMG8D8h0GN0Fq2QbuoY3V6e+8yLzLm3x5z2YbumJ0yxSmiz93G+bz2SZ
72RGj2ZXTQWXrqqVutBsFv2KxczZfvzWSJtYn/heSNQouZf8iqGBhUOBkEZI4GUjU6fO40zdl9Df
sF8M7Ar+1SQxzL5MbhtDLKimrDrRedxTOw/XBR2gzlf60GA40MHV75axoWDFv2OP4RexgCC33vbJ
fVnQIra8M8wF5foA1DLGBT6WL1OJmhhVdLo8WP2sdxfqn7ToqhoSwKPL24JGhG7cNF7cfILnazcb
pEuZZ8rg3nAB2Iz6bWmdhi4FqIdDbXJbNxPQ8keWZ/JuHjoEog289+xlsou4O2K8KF4BRG1riGoo
+nEOcK2dwtdKcQ4o9oumR8W+mIhIwXDDMre0U/Kg8E9fULenMpRma0KuyaXgdZSYFHUBg8e73CyZ
JqsWWd5JlITlfC9YkJezazCkdnjmGCOpRDawR7w97njJTM3FaAfTDiIv70fetNaos/Vu0s+thyFZ
W9imn1evb41vGGSXjlgIwxnx35l81FwYm61ygi9wqnksU6Ah/QLEOI799bw4yJLHrvFdpzuKAnnU
cZ02uzTOlm491HlWVdelPYsrrUf6u0uashgvMSTBJHBlVyRP7ESoUdMqxDPtqG70s6SbEJxOo9vw
FliaxzxuDPXRqChrjj62vmx5rntcWXwYVsJdAscxPmtRPX1NYhJgoLd1dnZS8Bnu506L1kNLc0zt
1DowSJXZp9bdnOWrvCnserP81KNuXwsjwctMAX0idgiHEuZ+l24f3gSHkpzbdfnOmK25Dccca9+B
tiWjPxNz7IRLhJw5iGoMNi+IMI2nNGkZa7zptr5hXHR3pVeSEzCYtQe/qkiwSs3DJwCFk2v4WTY6
z9TB6QxNUBIEps3cHR+aCLA6L3dG9K5WFk+Tg8MyXymrz6orp60T6w5/W26foIV6/K551uLrrNW2
6naHUYBeWTH013ke8f1biGD7LnGzJJxmXT8tjWDeLzYgBCDNiXP9Y1f6v0rKO5UUfGRU6/679Imd
6k9J9Fsd5V9/5991FJ2SCBLJH/FsBMZsZ6Z/R3fpRK2Ci0fUh47OJOjmP3UUgzqKibyJU54Bicfk
JPPvOgq5OOSpIFNyKKc6hu79kzrKD2T2X490yJDcLc+PqACScxAa/nzY0Iuk1iF6ahcEy03q7Snr
uMvwsUWQULbnVC8cPNYZ+p4kPTgdGRXyymIFhBhReEI6vS+rRdTxeZPOZ9Z1qXFGxoqHDD/WUwr+
eau6w5Cl/RwdMldJpa5kPI1Ixlf+azQc4clxrWccE2gGqKwPxTAnV8ZYIH7GG+w6mp+4GmvUaOMi
PEMw4eWQWVOuFlTR0ah/Mst2I9/bPXbGRzjelGJ3rogn595N5iHxbpXqdxPqf6rPhQvfI2CHgEYj
H1rA4T5VAxoOIBfYVf6v/vgvhd87swaO+Yap+u/TZs+sUf9JeN5mzZ9/589p4+oE3plUjakwim1q
/GfauA5ph6ZNiZOTPKCmTUv4Z/nRYtroBsHFFl8AxLFFAejPaUPNUpqc+yEGUfYybe8fCQbfHNGp
pTNZLGEwA/lHpurPsyZmyV3duhqOpjnEfZBnHocMVCjelRigVPoYS8urzAbvGnrJu32LN2UMNpDU
GF0WE0SEkvLsmzmLr28F0zL3h2kwRyxMdHkMZebhAgTn+JfH8ouSyS8v5W0STEeAhniLBmqtdDSM
QvYHYSA7yE0DZGmX1DtqQ034zy/FrfQsxJ489LddktVAhbMI0QO6mRXH1LUJEQ1m2KCc95Jc3rQm
ftxAtJ46vRgGBQT+nx8fNdkhyyU30FMRxdnFZO862K/zaIdxGaWBU1kAvSKWBcps1Tt9kTeV1z8v
jt50G8UcRHm//LVa2KPPiKy67xFJC9uH+JjsSsxo/4zGxVVIhSDsDOoCCou/0b+62LW6sYkGIBrC
hgpookPBJts44y6tC8o6v394byqvPy5HtV83YWgyTN4K/CQNJCsx+uEQLzYUlqz9DsjulZ5W4cOS
u9j40t4p5v39NkL3M3ltblFShv62eRclWTq5FliZVJcygMma87C8avf737U9jL+8Hn/8LpNKEMp9
nfeZtc2Pv5R2xRBBLWmy4WCpkVQLTbuCfX67GCboHh3Jze+v9qu7+NervRka9BjgthBNcHAxSKPY
wto00lOu0y29zfN6v82yr7+/5JsACvnjF7IJgJpPvZ8B+WYpW5LMdvFKQhVKbJrKlcg/xHBgTphr
XeSlcRYOzYMzLm7QkPH4ze5194zf+DjEbQUExRt3w2xOfjs59R/zbGmnxRaeb0Z987hhnTBTx4GR
Nes7C5Pxi+ePCcDRDVtuoLS3I87tYjQtGE8OyAZF5gttyhx/nuW4Aw60AUmB8NRwdUOLu7cz81l8
1vEE3mFdrG8c+kdBXMfeLSe4+J25IH/51ViftxmOsvxtGyL1SOahsNRTs02QbiUypNmBi9+1+x3Y
9O4ZXjK8ickGXVLla3kGmtZeUagas7CYe5RftNhpVuGmxjDlW1RNwqh0SbUy4+USD2Z7Y9qrdlqz
ieweHH0hrhtCB+DLfBgomXzoIRoEHtWXoBWasyeiQsEuat0dcuFzn7XE42j5EPSR9MhtICxGZM8c
XbqbTCyWv1grUhFrwHOo9beVR8ZmowhSXQS2rZm+/JWOD/hFaxvCR8tM23C0r9liPfRYcrAfxtmR
7Lz+lk8u978frX+fIFgE2Bgw63kH/03Zje1aDnLaHnqX3GjZkNBk0U+Gmp+GNap3wwCg6/9wRc7j
wA8kHsm3MYJeO48wCLL+0EYRTkyxy434D68UV61FdZFz88ffX+/vL1xXOqw27Ps3bffbvlwXeyPJ
YUN/SBeYGuaIRCTGUrpzzfa9gJa/D1NX0qs0dToNOtXF7c//srbFgxzTiVbewcMCdqm0xjhV0+C8
cwN/eRVEAGxTqLRxD3++ChxRrehhFx80/GNI6BxPO1Ldc+9+f9/eNoRZx/g1yCwQxdOP4+3383WQ
FK0GRUAK3GgqQqJk0709F3Q2O3InBCnFbCkY+OQn0wVwXyjEHCqRqfeWpa058/MLY7Oj4AfYkK0G
Z7efv0bTVACCRgdC3Zw7O1R9+Z5SaL8XU6/cwBKrOBklmJRWr77n1eQ8EPE5HWKpj9cErllnSu7v
Zgz98jvRnHNp33rsWd+8VmKhaXhOre6Am7M86a3cefpA2avsm5uoq9FeAzL6lFMLDIAYL7fDZo0j
jRC2qVtWVITz71C4x5vMncN1nT4PNDiCRvX140KCAUpGJY8SfPy5XOAd6f17m4u3adM/ni3bfQP+
Lbl7WI1/vqmQwbxicSduarI8xK1T74dJxM8Jq1hQN04aRhgigsKxe95YbXGmsvzFVc4TRgHvNNRR
FGBkH3cUIL37anWqJ1es31cZESXkJt6egt0STlmq8a7oczIb8D6/MzrfdE7/9gvejM6pB00QV0t3
WLQ0PuN7Kc+9RCmMCjfsVcsiP3BqTlP9ZFXLGHQ1BvjffwXrl6PAczc9EJjdvzFF3YW1hJZhtwFi
etAXCPi+sq26c0THWdjTv1X5OL8glUr+oHndD2McAJpLQsh0QAjibm/qXRW2NrVLiF1TgRxvqIOE
Cx5miRcd1ajxfSkNg6XSeXSsbCfJIgptzXtB0d0ejVHqV5o08uNaVV+cUX+0Fy4EzIgCMp0p+c49
//vWDaCATuYXOwQbcuubWy5xo8GwYEFo0vyljKBWpXmorUibq1Va7+wTf7FsoyCjgMK+ng9+G+PV
AYosWxadQx2Xrx6df97aY4q+65/6ubaRxJU23YYQNqauN5MZs/+A714yktr4CXBOjP1k3SobC6cJ
Ysuof+q25p4JansPgPuLt6+NlWzjUPNiYuP98zTsY9WA/dGp5zjLJ2QHd7PTbCk/r7nTf+XIa4e/
H7I/9p5vFlNbl9S6DCy7ULjfPEIgJt2sFEOWY3j5MFjse5bICpcyGQNCwL5Tbn9Ciz2H8VKzuREu
MsEubkOd3crvv8ovBxO1Ot4sVJhQYPz809XQjzIZmb8I4vtQrx3bF/RLSROoCDFP0tffX+4XL02b
hiGP2eDszSH/58vZQFNj6mA85KWdD3FtRMFKMMk7Z8Rf3l+DSgYjidsr3trI0s6IKwPpyoEzMsEp
4wzWpMQBbUeudppofQcx7Z2QmJ98N0VxgYvfyGmyapcVFMM78/Xvh3I0LZwKOZQjEpNv5+u0DHIF
Vc2XGWGVIrSgvt2ucPCWOIgLQEJ1V5QH/DEm6diD/s4ENn41g9kNcbPZt6N7ezPWerhepoVT5rAY
IvlaO60msf/H/S2WEIlMwa6gQUIl07ELLJumHtNoLkOKnHBgi8ZJsmAiluh6TCzkxmbfD0YACrb7
9vuR8YuviZ4S9j5Tn33OW1VlorlqkaXdHOw5aveDoB8kusbbsZdX79ySX1yKjopwPHQ/aPbe1n5U
anR1Q4Ps0K9R8Sqsxblfy6QAf2Xr/4eftTknKXVvJbW/rWr15qapXdEcpKnae2CY9r5anOhCsNKX
39/AXyxiXImyCFtEJEBvz43mGsVpNXAlZelxGPVl/VjE0Ih5u6FbmQvhC2yI7ywfv7yVnK/JoCSF
krL+z/M5jnWonolsDvQ2x6CQMzaLtDDDVodq8vvfhwGfD3uzarJX0qnpU9W3WLF+vpgLjWqIV4Mh
IkhN3tvLAsBWJWJayX+LyjwAE2OGNntyXFfWOGl7To7DvFvpehf3mHuYXMqixniKuiX/YNYjvU68
Oy542Ry8Gq6qJvlCmrx2nZEY0e3jJMdE1xGOBT6Kn2QFjl2h+PBGORn7CdHccpFa4h0U/dZ1h7wL
UFicJcaTPZgoH3IxS3NPZtls7yyYVuZHDz5c8d2GEY6wqOYEk1zmBM7qBiFpk+cur4zllAMOgq+q
jIL0Db02zsVKy+zQDdnY3ciiHNxrAYYqurc7Gv97/l2b6M4CSp39QXgZ2Rp0r+Nr1ymlEw5w7Mjs
kU3+OMKHjM5tqVVHHExIOZe4NSG7JeoDBmYLSNOABuxE5EhcB+5A9M9maVjiXQFouL1KR46T+Dq9
esoPXTd5WUgXdZnh2aBJuRQazTzqDkVthnUht82VIiP0i0Prk24EBrJgdcn3eawlMoAD3eN0uZsi
Z3wEB9n2O1x3nvNAmKILjnAZ4+HEJnbeN+7sqb0AwAJhuI7XNcAv6B3KllfULo+28h+ocI8Y6k66
zyBF8mDOi8oCKpeMBrkFtTwW7nBPnXc/IGx7Ad6Xf8w1V3/oScbyoyKdsSim+c5qvNshX/Zl0+3n
xCkfQCf7o0iQcaDLOJgim0g5yIp9PIxna1ymwKy7L2lGEo8czCgc0tnaI8v4Jixt2o20p/kOrXOw
u0nfeULZB4FtwmfHvEKa9eJLJ+r5q9PTT0XYlGI+GL+sjS2Po4X2aZwXIsnzD8iVdxhOmzvpFe0O
lK26o0u0BoOujItb5Mk14io8QA6atw4X67xa8iA1414p9KFoIaJT5IksmNNsYFPROUHOWyLsOme9
h2xyanrR+2qFIKPW7BbCHOoU0Z6zeYbkrmegcXuyolIAgSiQM8j4VoItTbl3kSseEDzMO2Nyk/26
tmuwaP0QRibGlpWt6wNo0vpz6Xb6VZk4WMexb4az3revttaUWCiQRroUrA9OVclTm9MbdoirOhG8
Zp4I53J3FCnOJhphnFDGPpPLxwJpxUe8ukdHikc1LB+Rt5S7SQet1A7RxwKsYcsMLNzTODjlftTg
eqOyeqLRF527yAJiH1fuTk+FxnNoUJilHlApzg0PhL2Nd03cug8g8XgvWt0VKELHz2cUOYsGjbvB
q+pavToSCoR6rXDHV9FBXFrUBAExzEbVrwvqw4aEco7mpt6im6mUB+u3InzNNxk8L9i3rTl0Gs4R
vExZJNJ4mD7V3Psb8kYV5ZGo9N3MOOkDYbFa1VdwvFb3wj9Uu5kJsYukKZfuCktbPHWfAB46HRhC
MyJIKVyRS37SDGuvpxh9fA3tR31wNLP6Y3bWrD5aWW4OYeFuQL+lQvF+pWl2n/qZ42KlzZdRamfK
s3pHkbZButNyp/w+K/NwdYvxKaGqf2fmqfkUFWWmTlNqtzuJZu7GmEx3X2FXhBHUUIxLVKd/tfWI
/ST13XrnrHp+qXnJ/tET2mzv8gWKWjpJZV3NpG8/ijGLXj2K+0PALgAdQE0HNFwXd36mz1S8tnVr
E6tbdMZnRExtyBFN3nqlWW94KZyqpCQeenYsT+4i0k9jx+csWo4CqDeb87rFIqsZaAAK4O6FKhxt
kLRL1k12ykhILK/5SP5l8weM62yfzVrz0WkgoUGq7gnbRla0VygnXuiloux0qmkK8Q4VfTisHZMj
NzWJjERkYWzbMkjZcJ0QE2VwlGcTJ1fvtfuMc1NxhK3J/9/D0vvQRNMmX5PKILM1niKFlVg0XlDQ
GjzVoPy3MahN55g010fa2blfOUhj9oTW1NoHRE/8RGdT519ic+Wr2tn4YcQOOl0TZRnfKhd/daXX
63XVg3IWCUwMRDHqIHRlP469KVefnUhztuskuUVLUn+mdGfuKJzJ2xirkk2OQbHu12HO9oTFQonC
JRDf5nk9ksAoE3nLJGqYVDxdivDNOaNxjjE0qb+2Y9zCDmyNp05xv1WaLQAOy+Xgkkl41FqxwB8z
m/tatvVX3M5lC5F0rUeM3ykeTnZ8RzkXfKyGuN1oRXOuDZyh69jVX/ulbj+OCfd1dZzmj8qIAX6u
RM8jjwHGe4YCuyBV7btv3tTJW7E2GhSCyotvZ5r0+Nltcty+of8TLsg6E/ActvgJsviVwWu5DuEk
x4FGjgMh22WCOdgdhqjzyYo1nmpjkbekvkTPtZ3EeECH6rMd21nYw9uDtIuu2PBHl02kHCxzF5Na
eV7gtocxYstLW/DjwQDNzy55HhDIInW0av52rWvx7eA19ooigFBTv8RtdSusJj8RQo8+p/co4oQq
m6JzUvT8D+RAuj5RDHkfYg6sBn9lnlPGKruXZaFoDa6p++bEQgZRtOQno+23UT4k4CFrRIGPQP/H
D6LqB+IWKr5kLvXswe3b+ouVJvaj5q0NoRbllNySoVcafodm4mPerPOda3fDB72eswe1PW6zjdwr
mRpQIsTIhTIN07vjbEpBrUpuBZzuJ0yLy52O6/5VXyt10GbUdj5F++gBeaA4NXpSXtnWxCdWa/bA
ln1+9nQ6MuuEDPKMK7xLdhopBa9OTZkviIYEdyL1lo5gBlubysDWKrSiIl0LfOiaHT2IhCOXXw9d
s5yKcQS2nQyMpFVrWpZeWzDSWLOS2zxLK4Ooj7W600DxAjddcp61Tggw/HqrcsvA6/rXytU4M2Fe
hEtYTHgcq9T4IOINojB1xnd7TNGuM/Wae1aL9bUy05pEWLNcsqBN5fAd+dQqeWYOY7+uuS02b/Lu
oE+Z0fo2W96n1cy1B6/XWc0ce/w+125zTxIwhf/GrG/6cQHSkEbNvdG78S1JTeSoexvnYmOHsI5t
8it3Y95ocf/SKFXq963mdqzxVVbIU4XC9JUdtXPNmTja1ziTWcTgFlE37S2ClCPL/bx2bn8TFXV8
GMmZOQq74NHw2ryyWpENvnRidWeLrt7j1eie4d2iiFyTVwAG/KeuruswGmvrq/Ri+Gk1+s5aoFs1
LaDjcrTsg8H98uloijDrW+YhAvDlgYDdjWPDqQHqIwCOPBZBrlWPaFquR3gY9CJ1xVkGmPWE/Jww
NvcM/Y144KJuuWxm3+oT+k20yawb1kp7XVfa9WyDIi4XGT3acFRO3qwGfHmqWH2jpNnYAL05SdWf
x2WBHc3cvNbjqb0qY6c8x0lJZotpsQWEBQH+Iv7iSaTB5GPPD1k1Wt/ggJ4bpRssaTiZVqtrdqVt
1MHciwsoDfHCfhsiIJmhXwnjpc9U9aSBaOapiSqHblnChnRMq+XFnaf4QS+TaU8C6tGu8ib0Jg0l
n2qqI3jNL9T/ik9wx4GoOhU3yQRTwELPCSdwlkUkG1e4O2WaDqk90rBZFaLed+hUL4kxwIxcpulO
uBlM1jTtHodGs1nqvPhhILQK6Gvk3A3IGX0K0wso00h8QaJsf0Cknh+Vcj7MqKQOlEsT9oFs5QAZ
LoQc4H++Vi6Fm8owT5G1Gl+xv0572DH6gchtosLVYIXTyGTs6qQHuEupMF4W+8LmQrykQgJDnKs9
04kFuIKy4cc2jm+PXOTXMRvMlxnAw41XeCuqhUI8wQJOwcR4Yi9Zuy5F1OUfDOk498vIU5LwZEhx
Zl/oE1eDQ4u4ru8rrSYzqONe3TQpw0CVpL9CSCzJE6lr6ByigNk/19AtaSD43grIcXBsNvQiJohj
mbNzPJXHPiOZyJdCu6qWdL5fdfMFjkixZyoC6FtTNmoS21fkDDeFkNEzElK2GWLcA0XRU792e/Xg
6u0aQvR2L92iNqpssktknvlg6+VtUUvi95LJM2ha5OtpWarx2pYar50CYhcTzi7PdTxD5E+tBE82
1lPmXVtyLCUUimlED228hhaZfixAkR2kQQGe0hpQhGatKWkMSoO0A6n6aqGYzanOGaGID22anb1J
6Q/SEec2deZjNPbBSMjqNfqz6tKVeDA6UWFrpsFDCk/XI11LSVLv0iOh3N5Hj54p55wvbVVuFgO5
Bk0NDh7/U+L6CG6Nj4i621NlOl+N1f4etVXzmR1r/jmH2Mmi1WnPEBC0vTUO8a53huJ+sdmx5JA9
aXp7/Wbnx5DCdmg+oiMfsbtb1STC0dE75+hkYJlYNOzqViOXIfbLxaluKd9U5O26KYSigZjWlTEq
089FkZb3ZuMW97aijuwrANwHkrT7b3ln6l9LeB3f4JDC3DY1PrBBBXCWbVo9LsJ0p48tOx6eGxnX
ewSxUNJHzbZOeQ0KYvXIcOVtSe1sBUY0UPTnj6pIwVwoM06mWZGIc7yxf4oMb2E3dBQRumUoXjMI
PaRqrn30We9S4ytha7zpK4F2vWvm6LOZQUkPRKQ0ogHWqPumyVorwEMQeL9bM1k+5s3MwtAl81Tt
nbgfq73wJioayAwZHgl5s7NflbhXEnvAv+CBx/8sDcnf8eoZpoSTekCTRakzjEoL9Hk4dnxLFNnI
pcISlZbDIWbmoqkSZXdRq+w5N+rlaCTBVE8q3rN55ZNXQOTVSUyUH8NEkDp6AHrJFqCnQ4pddIZM
lCa6wIHfFmxa88jmKWkkqtpEgA3R57EdgWLGA5xUHxtF8WoOYMX9obHwZE7C8j7/62bKUYvh8tKe
VMHa6SjTHGhrFfAFuzpYxKYHJJp1WUAtiFuPS6h8lOjHykOuUso9KAsUB0wifY61QRXo1mzkbOxJ
W5KXBYTso5xQVPAI6bcGU9Tw+zJHUg9paz1LLx0qhvFQLAg/rr2xH19Hm9qoP5h45a5tzQBgu4zm
oRzwthR4HO8zx2vIo4FR94RMu1uOM2X46FYM/OijOep8R3blfGtVRjw8e5lLjf4foaMBz4S5S+0/
AdMFZxXMA0jOnkXC7L4pTi8Epk7siJdu7L4rbFP5wRta7BSDV6gUk4MiGiGH/cB+l8e5Hkvqf+cJ
fypxqlXPjk4mok5Put1SRCHdBTKV3yj4wcwpDty8hHl/BQAPgHOXoM9xy604aW+TEWR8s20hc6c0
IS6jDXw2UjLvm7zSz/Sk2+NUDNZ9EbvzFVom9YFQjOl5MsX4r7L6/5Tb72lQhWNQGf3vGtTTty9J
9VfOJaXu7W/8W7htICZF44nKE08xqNP/KFDxSvw/0DiGRBhGIZ5i77/t7wi6dQB3uEl4oyF6oEP2
p/5UGMi2KfyyJZIg1fC0/BPZNrb5n4u8iFFQuPK1aOkjf8Pb83ORNzOiZpBOZN8wQjVSucu5uYDr
XjhHY2JiG7oZeTILbRFU2fxxVbX0vqIX/J7Q/XwUTmbJgJTFJ3y+80vmaOpCX2RmpJowlDnT2G7B
+77zqlCz1qV/YKOAqyWJp6l51ssm0nx8YrlVXDJPdYdxzNP0Bj4LCHaAP+6ew0h5KqKFUnA6NEDO
jDgsi1zgoHQJfVMI6HapN9zDhdnwKfoUXeVWXV91Aza7xR6bM0F80zccW59F0bvfhNfp2K4q56DX
qv7cFpkeCFnYHD+6Lxbken4vqwAkLLNNLuuSzEed1K89D0q7KVMt4kADmzchabeNgtYz4xFidz0Y
xbiXHWkFvqmm9FZLEvMF6/sm461DdEV10JE3+LAgInnoh6aEiay/5FJ5zzMxh7dzOW/OIe9lnonB
GXVCLq2xuBep1hzB0Zo3bVG0pwGqc0AAl7oqRnjupBqpa7ICv3h9g4WX3sdOcr69NMBzD/B9xq9d
5kSnhTSQfVYaOW4g1e7W1IUkiPoScHfXVkfPVN+HwWx37E/mj9JwiQqIFeSmBm8kB7Dc/WyaA014
J93g1tVLoYoXQmrVdUmCDtlj00gPl+QP4irg92cK53XtFJgJiRODYF6M0vAt5RWPzgq6yGdHVp+2
EfncjJ29Z2fLexmqPXGo5tAoP3EcpLsVUXGlNo6ElHGaWWgYzNMAnNyIH0RmZHdwqtfbaEr0IFnR
vCaWic9R6bPkKla140wsDiLNKYTjK1aPk93lV5Ky+hV0N+saeRaqniSa7qaWALuy6whCcUVe+ujB
+2DItPrVo+w9+PEkjEPhpNNVu1I/mGVJmTJyKSvP9hR/I1ELrctW8ka0SiLJQk/9YtQee0dyJXQ8
b4vu2623wtIqAUkGjT16fuxyqLfmBe0M71yTWlXWLJy9HMj6xJKST2RS39IKLfUrQDkXMFlz6ve1
4Dg+NlW79ybsPg1fymns+gycv3uOW5zw8NnM5LUa1mpH7qh3dFRmX7VS+2avxAdbSZJixo5ijiWt
hq+eRBcYW1Sp9k6qey8oUzN/bJ1LHVH0xmqb7HMERV9H28j3RAbafxBNtJ7XuRiTwB4T+zC1HNRb
o58+4rW37rQscuiZu9EeursXB2U2LZdq0gQEITeqzi523TrE/pbsFho2dxSVq926hT/YNhoWjOnU
odmIAXAifMLNp+EDda+KynpJJy2NNhyRF6uLVnOAkrBAC5gX/CTs9YgaTQABaHcmylPtuMDfGlOE
k9GyU5O7PpOjMoPPaIx9IuGbJR4B9pRpouuE+LE7225CI3LbJ4WP8YGsyGNbWuvtNOiEBM0Ehg1M
axJ9zPmkomLitGhXdzTeSIOcjI60g9pdHskUqq+LbjSfTBMHHUfWJtTg6fvD1E4nd1FJdCqJy3ic
08YMvIoUs7nWrwtH2+llNd3HommvlrROAxZP/YaDZRlUsiTYolAWi0LjhbE16ae1MQh3lGAFRVOe
aASaJ8JnbF+RTBlw5jKz7SEfWhSjYaTqJ82pAdEvptU/rl6yfC/0ug5WzVmOS1qIe2dpCnxgBmlP
CDwTYglkdqCSWocqYiHXzbW/qGSYn8tcF/umLuPAdkf7Wmf/5FcVC5GHZiuMKF58sio9OWINzgMN
A/auFf2iwa2T9idegivVOE/7bqSN5s9TYgUofIfXFIAZhlBVPXSNbVDGKPyelOwv8VpAfDfyHODV
OKJk7rQ2IE4w+WSucX/VFvlDV1XDOfHsMrDatr5Qzujv1lJW+2l21zvdUN5tR9BK4/dDtO4EGRWH
QlSAGMAUh+ALxnCA9v0dFMG4m5z5D3LUaLqwZuZ+lE1J0HI0vEo00fhVLaeXmsZYAAtxfUDp7IW9
VdmfEFMwNyy7pu3hUpCDO3oN31JjwYqpZkglPmf5yMHVadSNEZXlgWxF4wsMSBHO/fockTMUmMBk
j3K064LWWkS5UBkzVcrVPRFK+ACA/bS18THSA6LbZfrCAy5B+oaOGu8n6Ecv2izRVAwFhCy7TO7S
vFtKX2vi6YPOWf/sWY1zjsEi/Yh38I6smxQLev2qw2f/sK7DHdxJ6jQ5PQMqu2QlMfae0sUstuaE
z5QAU+kZlA3XODlBH33IFo+hNhFX61tWFAe0C92jmu1hH7v4y2kHwJF3oys2+NmBnJsBLGTq+uVK
eWmqKXUxoZL9UFCfjGFa+eac0/hyo+Iqli3L9xRNXxKl1wcNB+aFQrTzh+Hk+dcWZNyN7Np7EoDk
I+3NZ30RyI29qPn/7J3ZUuRWuoVf5TzAUYeGrelWUs6QJAkFFDcKijKapa15ePrzqezutjm2K/q+
O6LtChuckClt/cNa37oZR8M+wPdbdg6ZaJvatIcv2Ej7I1OdN2I1u0OcogWps2TVm8/Zvl9y1iWY
I9sjeTQEQySRgH5YVpdlXSawgDEHpHT3jNL0rww+xxsa+yGm0wmHZyC8yj5fBvOmkEl6JJ5mCzao
9pH83LGhfJqUUXgq+8JNUhohYM0hfwReLHc9U+o7RhWaP7WSxVEd/uJkEUdgFMc7p3VpIeI237cI
um9iIcaTBITzMrgtzVQL/k0uzK3wAi4frJgf46IkZTBL7Ycs5EfotKzz+fkYHKTG7cCpupGx9hq2
zKOLSrB4kNVNjr6Emd10M4ea+JLXWXmsmc9vhNIMOxTm7jaZsvC1IaIB9WnSvE5KaXmYnd1NNejD
geizfgs/8nXUOFfIkNS2OPEQmkfFJu/jN6UnA6uZEc/bTrocXZdtdBblRKecQBmBJwZqSK5njuIJ
1R/zGNXOv6Rg4h4oqrJTWTs86k2NXWAyZk56V1WdtkMOLs/MK7eFZcidM6nNLbsEVu+TqeyI/yq2
aqxHNzaL3k2jp/0+CtOEKTIrs0ttyukADFPbEs6BuTUlp3sU42urcday5THlbiTw5E6OdupnZqMd
K/I5tqYzTm+9Ezq5B5qBIiVrLROyYkTUjIVPNjCrZXovYUm+WmgtVcrctyJyw4Af5KPoi3qbEq8J
7IWYd8ApqkOGYqbso4UIDB/yTZF6msjKW0kGtG9kwmIZVNQxWTLRd2awOrOCZeSRBsjOM12VcWiW
3lH3+l2i5tuRBnurhpInKNGXx4VzgDw7qs3YcdQ9aF6VtYRjet2cDxAgUPjjbIw26CEaj9IDnkie
3ZtsKQ2vJefoFIYtrWap06XyUb+iQYz2+hSGG7vsMdlHAGCPDQMVP4qVNqhHcvkQYYf2Sx1DtNxq
vb1utNV7W/JA8sY5SllSdtr7RIr5HYIKDoRBz30jzPRtWALH1B6cKexTLAkDGcfvSV8MbPaLMneL
R3si3YzcP9NZ8zyhE1eP4zzwrjHUmRTMlm5JpeylDbtag0WqRrBkSesdsBwF4wpepwxABqYdgtN5
+gWCS/x9dPkJqRHMF76negXxFG5nfZCHcA6nxoMmPwWsIpJjj7/8tpZ8ddVaRBJy5xnZ3Gx5RZQq
rlsHrIp1QK2mrLxITuX3JlS12yqZnAM8qYU7mGbubPfW48J6zqsb0/ouyAcMIQQs8oRbYtyYi9tc
m6I2vNQqmqNSyOJeHeOY+UM1R14Vj/1e5J2zngZzQNWnB5WghNHHtmAVlWR7glHJHSNM/qSWLVNF
taEEYLa8cfJ4CkxrLgjHUXg9NZMVVpFBPLeMjyZUC5J8VyC8kJVUwkwJ3UuvIwocwha7+SuYvbso
xc7iqbk7PUxMsIMBUnHod/1CniyZe37atWTqEH8IBo2I1p45knTuHJ7CKUIKUDtIAqmRW8Cmx6lI
08fIyYGnUXrSM7XDeS6X6KEwlxa6JW826V3pToEyGnmmXuDICAeCfKoSXrrVS0zpaVs/hGGhdhBC
+NJ+cU3ygJry2kWEska1Vj81caO9aGxyXsoqegoLW70ROlMzhjiqsjd0yTIOYjaC5UE92W4hH9hq
toTTk/lu3zLEE/dlXL/ZS8O0WC5ThCgzVkG7oHZI/GSJAIeqzNLusnzOn1NVpl9IlQp3ju6C+pl7
Td/RCnVfsqYHaY0mANi3QHNSRDLgJyq3aZNyE04NsT6N1ZmzR+tBrVMjhg3w9ozfCCxmil0pZus1
1TRfant15ZdunlybiD2KWi/sXtl+6ZvWUbSNbiOtGjORHOJlSW/QlSaHwnDtM3NeGtjJ4mJSlW+5
Uy1f4kisaTuaxS9nzBwaqpnNzxlHhc6VP6r+ktrLnTJXS5AjdGezQHwShCYnMBauq2ZBtKLVKpLz
HxhzKl8/SdxqX6ahxloE/Sf951rIamZzYxoU12zF1mnnEm1cglnhMLUo1eqXqhud4k7L0tZAlGDR
jNUaTwFWxkAI/D62WnVkBWAt35W5VMeL5irp3orx/yXloMzPXTnJ6XEZlZTnq9LR8HZsVVrD1nHt
2LpNsqnRTOOJt4Qk6W0V1bHlG61W9Zn3v4UA3yrItzsDkdqFil0/5uSWP/1u/PMnXldt1S//Tjin
OivUENShTVXGdOez6lbW05jmhjae8fiZgeLqsaeRM2xPBawqoFnRq14YuyHVj0ZmbhXRbM1Y2zg2
+bL9siHmasOvunOXlAV9svv7H+6TgvDXn83C0onoG7/OZ09ZoQ01kFp9PEvZnG1JrRjuk+H8n78I
gvmV0SgQYX5+A0xc+jS9w3hOdBx0/N9S8m1pV9sfL/PfkeRPRpJgCVeT1V+PJK9x9f2X/zm0+VuJ
LPh3YTq/fuNvk0nCdDRdXQGHlmshEVdRk/6GlFhzdvAFqK72z5Sdf04moVDo2JFQ8WrYSH8PlGAy
iSRVRSvJ9Og/csUzgPzjHfSD+Yor0+Bn4Ofi5v3jVLJuor4pXM4XxcZUks5x9eBmAMc3MPUKSDnm
y4jQ4DZXZELYhXxhTqEc1NE+6xWTJL8A7BbIVhT3LpHal7xXn4BMs5KUBDhuK0EYz9KDGGtoKnwx
Y21kBznCcrHPMid4W5+0S0p78+Yaxa015rcIg+AjYp/sGtP1+7GgkgCuxrQk+ejVPjkXawRybUuI
4yXxwKriIMwyWWgn6nIiBfRiaa1BBze+sViePDNDQiAYt8Ay/2jzFL+mgfzMrpyzbUy7MbFJTVwd
IJSHozZcQ5LsPCIGt0LPbvt5uYh0PqkRXwX5h5S45G2WpJxW9fJudsDxB+29si1y+9ptlYe53xSx
8RzWYp80juWNKlEaAM0WVCPOWeuMl2zI32x10bYs5q9qk92u70BXoHkQWf6RypJ+MerSrZEjMjAK
Au/7iCN9GAdC78erU06Wjyg+WlWF7yOjAFzAkL1wmbJgrg5LDq5MGdHNMfZm3poc9ZiQ8CkjjAEn
1ijFS2ywA57yN9hDb0yWzxDvee6ggNgIfiEiET+qbr6InM9qNrpt7Upyh0V2XLBWe/hji9XUSiNZ
8UbpcQPzed2uuIS+bJLMZaanDNWpw5C2iZT1vYyLt16DUq/O0EGojjGq8VqS6EUijJfL2KqXTh93
CI1OmsOYjEb0JO1K8Ycs/jBY2m7Ydd1m2XTS+XD2TkUUfJrwG7JSfFrCLvTyzkLt4BpKkLW8EBLO
lLGTWBjIpcdqXp4QWoG/MqdHIo2DaS5hAcbE1NFyv5UDBHmmTe88u09AERMfclByzmr7JZnUb05t
3DGu1XwLXfSsd/vF7Jt9PQ2PdK5oCSQx1Y2xj8ho9hTVyf2sI5i175eTVc3xZhz5PGFfGISgcCVM
S0fzzyPJk636VEbau2uwhC4oVaAr50eK68e66R9xIn4Uajr7qoV3pS+mRyPEG5Rh4NvmeuVuFuB6
vkZn7P9437XSOruueEGgybRVmGeJP3bbrd/H7+nFE933aFgvid3Me2wIC3nY01nqinxlKOQy8Wcd
11AL3jMBroJ8ikKftsv0Z7cb9rU9D8e6ModDW1jOATOJcpeR+7NZF/F3pSJnOsJ8OMKZa1k058Z7
p7Wv89BYN5qTkQXoTVVCE9fQv6WBSyUe2NkyvoV21SiU9XoO9J8B2xPC7adiAnUeLKJ1V3Q5Opk4
PIsye20MGj+CMTZTbM3+gt5VdnOzqQXBjVjcLCsFv9RER8w+jClhXeZKfCkrxp5MRZ8IXI8IhDbN
zQDrbCrn5r0sSVIqlTQmf3xFZ7GJkAtQLYbuAH0JOL5ondkhlePyX1IdPV5FBk5doDweVN+adG1r
2BWf28wt0LPtRm2kqcEECeROqHa/m3QuujmzX2zFOvfoVQ/h0HwoY3MSVvYTBOnqRvhdHcQpDkEX
wNBKMgaQ/tljkqTM99Ixq/ZiUCg7+7rzQ2c6J2Z9i3LP+olh4VNl8+PVXB5oq/tDQP74tMlyxdiX
1myX+4hbPQCrddRzAi4tAil/8kqf6rv1lXAgOzYvpuou0OE/Pp1G256MlM57r3fZmxtyGq7HcaqN
M5Wm11YH/qT+Wuv8JXP2k6vp19d0ePJDRHHXv//xNSOjdGOnDcv93JnxxmyHx2rixlYMsR+VdYXN
74sC49S0nG6/qx3+pJ797Pj89bXJjFydQibZW5/8ekwWRpJynXLfFo0RpDgGLjMMzvW4OBHWne2B
c76P7YQQZxwQiw10rI1bkkobz++xFXK5Lqc+gl+DVn7vukiVUgYQiD1Oo8Xx7Vi69DPBtVqlIOGa
bWEOVzzXT6oZQ7KcxLl32LNMVeXuTLOSXyNqbh/O+8+c7H9yCbGmxX+Ju0Y19c/uPD1nTVXpotzH
ersVlXphpnMp1q7r79/Rz9aaH+8o29Z16YtQEL/5Hz9NbCnOxL/kWnVzcWin6TJridgAXiRPCdde
0DrZbRdpxX0+zBe7U4v7OOIZKpboox44l9dSBZlvRmMxnWgzmMON/SN+k7PBEC92OO5JRydlKmJN
U0/69BIBDd0R8ynXvKTk1KtNe0Wc8TQ1PPZZb4gjxnLYdlZXndDKfDBOtLwyQ3bUsPXbTUr6EVbL
k0OSxdIRowqIch/PLL7iMsFXt+BUldOJDXDu6z27nZnRhq7z32Ze/AoBdkY9Qo3192/kn5wwq8nP
XY1lePU/b68XW6lqoRglaEHmqZQTEyebKXULfKix//vX+uSl/PGZIcURfFq2TZjZ+u9/hzlo9Dmx
czGXeyLNr6JNjkX1swPzx5306cRcwdJ0TvzV/X95fKRAYaZS1XJfuQPSwmTSkSQt7+tJnywGkvsm
PGa62LuKfiZ8PGY4R5T5FD63afrNsVg0IN1qoKWlcERTHuIxUmZPzsWtpkUfiwUAAplnts+hYnup
aYxery7tTZ6wdHbkF6fjH1sYBg5ixrpPqMvo4abv/Nqt5RboJMNvt9Z3LIfWxVDyYSK6RciS3Q5I
+DIzmn3HSilQwTtNJhrNkrgpf1C7a1Xq8UYYy+knn8mf3LF8FuDm2Jup4v+5LTEkdFM1F+Vey2kU
IEwzqgHKhHQz43dGc+YllFvI3JxzYWI1DVs88mSwEIbMtRxm5Ya5c78dw2X0OgvgQx+rLyNZyIGz
mn+zwTqHKBX9PjTPMVvjgPwfHKQVkxw7nZ9UfXxHGgXmNnmYDKpDt+YXbpRpl8Xq00whhrEiljsj
H3fYuK6Ryawsbbg+BbJgr7WG0XMVkbIUzd0dHoEnVzbDr8zFv3x0/MlNwjNj/Z+GJVLX9D9euGNU
k280DuUebmVAiQPPe+THESCjQxn95BPRPgM01vvE4SnMsYYmEJbGp6djjcETc25f7hsdarBmYfYn
OvoY8qRyNT6fpeKSRMuL5UrnmEpTKsAov2VRunh9FVrM/Vxif4qh3rjWwtyHxED0hg5qBu1GGZw7
BsQtJGaq/amsjMCQ7Tv51Ncpn0+sf3kYc5lFRvYWjmuVOjKtZGxZ90ASpgqsORC/oUudLU7X84/2
chET5GGTL3QbcsaUNWVcjsNWhj06loUE7Ant4Y8mCHlMFYxwNo9lPz4mzLIClje9v9S0euYyPjZd
hBYZcJFrDI96pl3IBSfzhmpNs/sgKbM5WP/AuLdGob5ekLIftppo2s16G7WTea7s8dGK1gZiBWk4
FpGCeU21pIbpLSGdTmBLvprN+wtaW24xXJQ3rjm9Nyu/p+cNTvPkFt8lMY6Y3n2Ri5c0HhjwCgZh
FVpoZrLKkB6XAs9FE3EDd11+pCneFSFPFrwyXJjcHdbY3eaa+Rq3Y3nMNPM8tGyIwcf4a2NEgnmy
G+umOjlU9nknXvSG2Pq/v72tP7m9qXUQOgGb4Ir6jEPIoa7WZHYU+9ae38t2uLYqz72VKhua3NZr
/fWj1a46F2WhS6X3454v4247jy3yipRvI4YJEXyZbtzMDZyhMWx46FHt67pTbtypn/e51io0aFmB
CUUkmxr58nut5O6tbFzU2BHPxW4ByldylvuLbZx1hTMm7eanwaDcUhtD+paaABuOIBflDpV1RGPI
8zA22DenEWU2+qXHDha81+jdtYGC7bt9fguG/yrMPtlVOfzkpMkMVivLqYjHxzQsCDTVAFeDxny3
2kVuG9ldbbqDfZZY59UdSpPZPxrWdFmr+c7+5/P1vxO2n0zYGHCt19pfT9gOTCxK3Ju/n6799k3/
JE/aJEtDeXA0wqXXKRr/vd+ma672DyhQlrOCdADP/YBS/nu+Ro3hYjjSLAptwGT/Uv4ZAFtBVWGg
/21ap/8nyj+GdRz7f6g1UOmh0kVnKFZWgbsqA39XzyRWgkBKa+PjVGvAfkdJWouZ4huQtY2YitwW
gU82dR9kVmNPWsEAqM8GxwST0SLR2DdaARHH4co9Lostwk0+VOtjVFWn+x4VrdhpKVDU+8xNm+ca
8bjpY1mJUp9oVMzFg95CnB4Lp/byED2A1xfqIjBC9taNm1o266OxIQ9SWzrhlek6X8hto9kMK+qQ
hIMKh2kbysETjlJ/c9PZfmfzNQSd42JLWFTIrNCau9afHVM3Aw0pl37j6l0ctG5h3Y60w14x9NcW
O+HWbiGgeKxKVYPVmZY8yDSd76dY7c5NpBfXIsXNsLGniglH6kyR6ZWmGqGnSOU1N+WA3wZONzuv
eR/BYzvqsoEKHzu7KdEZJ8RVUhEVQNeitzGS+G7k2RBMJsYG0dn6c85000uMJn+gnrc2bixeI1xI
d9z5boC91bj0etocBhi5Qazpl9ha2gDjpr1R5gQNg1Tyi0HpfTbK8WqqbI3NPMeiJyc7fseUI3cC
FqWPRiw7aUXBXMqa6ut6FPK2x0l0y2JXnMe4NPjZ+qW/UcdNrVfVOZRN8ZEOlkvwhJi3rQl8CqlZ
e9Ut990MwwrZFN4UBj81hSN/wZnw7ApF8xo0gADdzeMwkihsYxt9SJvWuBpkQ58MaY+XpFXxJGbx
txTm45tZWSNH7XRC/DUHzLMYmGCyZVcmlfuhmoqHvMkKNGXE8ugEOPIUwk4Sutl9k6cd2ZZZ7xMf
0H7JJnoR0erTecY4HEjGsBvN5CdV8P8E6hBGj4tjI3gnsQ8LQVpWaFmg4zcbdFHayYhr9Tir/fec
r7+LepHf20OJzh9nt3u1sUbfO6irEZmFKQJXDPJnOpCOkoGdTYYLabcofXlVda5o2+q7Gz0T4jTn
uicbg+QCLvvbCirpV5R2oDaUrouPImVchBU2r5HTDCKos4zRYxqS9FH3JwsS7JHw6tuBBx/OB6vE
e0k2ISkME5vNcp1Yt1yDeL1xy/ah0vnW0j0p7FzidrkC+lC3oX0SA3r/ti5f5rFPL4xX75QOZ8/c
uAFN6JXtXr4pHfneSts+EOf3NK/AplxvXwu7ybdo3LvZLxL9ZAr0XeX6Sc3flYiw0kqDA7X06rPo
3ckfZjfcUz8ptyM0603YyyhIVfGVw7C902UxbRV0p7BuIxPaeCueBK5C7PJ2SxVMdU7QPLeVcrRZ
inpYO77iTKs3vV00uxyXMKvl49IlN13RxV7dgRMsk3MZsqQnVJ1sblHAPkxpZEeZMI9IJ1+wbLwS
pJDfS8eMDuCb8G+jezgAzpvuiylfdmWXAVFgJbZbssm6Fc2Aq8cYD81MiGSAxG+8H0X3xMRY2Sv1
bJ6RhcakQ6AQEKP6gDBY5G5QayhPGI2MRnGDr+BcNM63ihHlxrIW9zFl78r8vsxwnSbhZTac5M6M
27dSSPRQNbXHkmhvlhyY78WN2r22Db/yCtYOGpnrpygvEbnoJpe0GuX+UIicDWqcX2aOXaapnHfQ
kvE32eX8uvRMKoeQ85kKo7tJ5ml+JQAZH1qRqPVD3UwPpcqEMXLK4q7CNQN5wWXze4kI2TsYEtXB
jv0169TcJBKgXdLqILMBJ2hSdtAmZeleu9T+kBUKyYhtwXaMnRzZjkOuBWAXhAvkRRdV6AsmlxPS
lN5ETisTS9lqC05wR++K7RxjveFwRzA49U9xTh692M9D2R0LMs2JdgUm+J4pmPfIXEjBiZBHrLOB
bwh19kgkdPZZj8ToZhKNdT/xwH4wmpBbJBu59NCCDeZLqyXNMV4KsgtgdZrfOq7+xNcgBzKqVkJb
4FCW9rUGUMEaXlObY6VDJq3nUKGgTMsIsHh3mKmn7+K8zx/wEhu21wwQNQgP4sJ1lzH+CnKm3Qy6
KPZaEsVvJBqqLozwBpxZNHfiJjIa4oZsISnZlhEq6iDRkozGMAwe8AnlXnK0f5SZYPkNM2u87Ya2
vcwMa1UMtDPylEUrZUTL3pOaBA2sf1Yxmb3VjZp85ZkclcQc9betsRR3RFW7H+oU94AW8tC4Kvho
nhViDc6Fah+Y0iIELwzru1m6JrFNsVH3mBOHnIRPpARmNRwKTlu/dTR9DgjcXQX8Ie8inVrsPPXD
bN4g/sq/K6mahsei10HPWDIZ79kvWU88R9yNRFm87TERkNdt2zIE3KrFLIeIInjP0A0IDqMofGK7
NVwmG1kB1LFYuTAwbmFVkv38FSxDdjZyGUVcxZ2wfd0tlgP5ptl30dXZVY4YsghA0lFmlOEBSXgR
EJjGzSqrrr5bagMvEGkRzuzpUDqKzay76q3M4/GrOc7jL6ET16+OwDtIOY2ERIncCIZpPSvHRkuH
CyQXdFIG4ZrvQp0h9eIBZMKFy3ff21ji97Yyylc3mkrHn5ewP0jWaGOQJmmNOMku0ufaSYTwnMro
rqlA344d0qjPVifzA/ccrqFeV+XszwINDT+5uzHsRv0aul0oNmWiZlOgDQopULlIrqEr1R1Scdsv
EQWDc3VEuuN4RlJpgjlAPKbbN/PY1UeNZJ/AkkIN5qFvg5xBsmfncvEBF4pNrZq1j+2+24CLcYWn
tfJe69suaGnBbnJl6DEqhyx3JjuVh9YW9INFXjZfsybtkONFPVF94MSql2zWZbnpcJ/VWNzr5RfY
OMZtqKLvNnTrm4hi94sdl8VbFbXV1mARkwcc8WHhkYPCnASYDSci1gf1kECounUXYb8ODFf2MpaA
uvTIXOBPMEr4Zo84MbpQM57cLo5J3CiMCelZg7mgrPRqj/OJP2bEADh7XJvz1clC8uQnPdbeBnfA
l1qa8hX9S3dvuh1i83TS1a/9QgG5idSx51pS295zSlv7znCrTjdhYUUKO5s0fEncrvwyL53Vbo0y
nk59288oNxSFtrAhY6aAK3JIo+yikiHyUpf2OSJ4t4qLAXenshkd0LLl3Ln3onPVc2+LKIhcshAQ
qkn9Dnej4jlaZO9qAhGkZzaD+AYnd50PVTJ6IqbPRvhejMg3NcXQZl9rExXrbhSdW1KUNyMYqoOe
5sNuEWYXLNLIt72q9jcaGnuLHfovcar3UJt6ywaDhLjTG1oivTOra75E+H6+WaIKt0Olgkfh01xa
Xzaiv431KTtElFmASUJTJcepiVIB6UWk36UKWtZD3lF6UolzjhZjvK0QZj/n5Ow+IkGLd2piKvQH
YX/ToJpG5wgc+pSx0vcjlRqxGFmJgQ9ot2QY93snYWy27m+zl5atS+PhzEBnGydmF24k09wNvoPl
lCmaPI4YrG74DfMbnRzh93BJOpZjXQfqox62kWuUhzqPjEDPlmfJUr/3NV1r3iKjti9GXSM/V5Pm
8KP1+2+X/JMumcnLmlD6113yXfNLVJW/75F/+5Z/eeOsf1CV0R+zRjMsOIX/6pEZgv+DmQ9PSpO0
UJWv+rc7zvoHtGGX7+NkQGClMzVCULmGw/5wx9HP2kDIhS2s/yzUhJPpjz0ybEp4hjbt4Wq3Qwv3
aZaZtT1sbEqpS5q5BkBDA1rGOjQDhOCGUoh7YdWgJapcLZtt+Gte3Lhmx2VYTMfpXEP4laifayr0
Lsk640qVBCfn2XRYibKw5Z7wJDlyqIJXtVuX1+p3/BkjdQDKF5otfBmrt6XXKgSJVazjWthVroAR
FtfpEae19mEATqk8t62db8qqzmOzFB3tbLUtVBEnP9mCV7TM4S5akPeRuoJCHRE8ilnD6sFR6Ljg
8FPLBmuxIfCJIxpkPUUA96ojLFdFobVqC5NVZTitekN7MPtXVOD6RqgS4UNTWvG1+SFXbFfl4gBF
2w2gvUDQMiS/sQeSo3M2bZ3LwFXj+FSH2TYaksjvaJe/JatwsgUckp5NHNABClX7Dpotkss5Qd3i
59Zs+h2wG1TY7uQOSJa7ZH6wza4jGSOU80s4s/VWOJrgQ01h9GALg0iGtqKOwGcCXySxQgx94zS9
cG5o5s4Sk3qISmNgypy1pa+Sz6ZtbYjjkWcnhnzG1g+3MqohF+DiZ2baluoKQnEAHRfhgtw1G238
0VDnai9dEn3VXNJwBanZtk1g5cBNu36urQu/ia6i0h+KiVYLcW6i9uTCrYJdPF7xB+2VAFTJXqZN
BMuIyLACs076oK9i+75mPo3hPs4iBABddZ+teuG5Yl2qFrV2r6xq4nIorGMomLZAK0BtPEqX8QI3
DV7KVZAcz9T4GSJuEKnbGnHEjSBWZ75Vy1615ZEWdXSk7+Juc5wNb4QABDDEpbyIrI7R75SJhpvB
gE3HUMUhWp1hTStuUPoA6/PiUnMc1kwYYEVQLLx7932LnYGidbAfClkmY2Arkyuf8mawa+aZLfUJ
xh3YCirSTnxQE92fpVMrHNMqbNwbiwDE79AwZ8k4287AgjlzodwMZhIRqOVM1bmFYHlDqxATClGO
b8iGmSll7dhvZlTH82GK5tj020ovqe5ya/Ul4d/C76hiBPA6bcaBMS6R0u3VprC3ZZQkl2SatcWP
6wGuYNWEBXd2iCyTzeacdAGIgn7EgiSH4WZZkr4OAIQYfhXzaQaSRE0NKbXSsFhToM1dLFzlrd9g
BLBvp6UYz3lrqrsmY/wfR6i9uOIEmWSpLcEwKHZyVirIyVuatjymrFOtJsB8Ob7oSVvtOneqCUdS
2yt5Lely7/bKuwL9mXsKhsJEYlpKV9pVRgtkq4ZaBDRvrl6mEMiV58x9/Lgsjl7tBAOdcsc/xODp
KiXPTU6i+QEQFkgB3bSIykvyXLd2OXaKdWgdGpCkZfOBXuWL2VvwaRKzXR6GDOX8foS9WB2aECah
IxVmJ22rIu1I9XtRjtyPoXDpxFOqLIh9axbBXKe7ZTKcY6o4MxabkSTTm0kbq5NttOVCX9lkO7yC
7YrHD9EY81lV20gihdUXYdyj6lGHrdHHecCWXD9VFnYPw0mJfFNQtceBiCe4UYtIAtUgZcbrcKWk
3xpofW+p2ilfGLENX0lSHZpNUwnBvSamIVBSsmoLjdXPoYlWJo7Rp+3GimEAn/gC0VN9MWJDnG5R
nHoWtQtDm1ZBrE4Bjw9ARaOYCyYwPdGkemvR0ZhWE7HMH+TAxKDBkxp2lD2dV5lFL27JzEQ+6JRh
/qjNkfEEyO1ZcAmzr2wn+Bpuqep7bGb2vQX0IWAdNAedDhfHdktb3ZQQVDa5YmK9WvWEV+Yf4pwX
ej8QLmcX2i3WrOp26RYr3Tl1ZbzUHQqAieBctpwJFDwtIUvOH1jNEg86pBNZimsw4zJrLbPOiska
xr4putemIWyIqBT5vMz7wrC7NatU/EguZXYzOmeAN9r2v/VU2SXd/JN6CtXJGqvy1/XU6a1s3/64
c/j1W36rp1xqJsQQtqlSNQlX1yia/hUSh3LXFCBOnTXohgiaf9dTVDW/1U/rjoHlg0apgzgFha/2
n+wYNPG5fnIN18Dwiy/RNBCBfdZk1cC98zSarFOhS0fzkYlpoPyQR42137eK7GqM9rTPI+QWowrP
VTlrpt+YqsJUcukQ6zzkmEGVglG/ZTTTRlmmRoR7J+yBhvTGgFfCJt0UGFsMRsHekjRaiPHcgeSI
Jzyv9ih8blScT9uuzQvrZhB1+46g6b4jup7BhK4QxB1b9jbHnMqAu46oW5b5AQHvQtZ0FycEouB9
pG1BsJEuO7qJFbA5aTnkQZ7heJKbNmn3ee309QVCQPbQ1KH7tc0XAwtpW8NvbpohlSe4e8TlMtF/
UQjRqHiJ2Vo2k5vryY6ZK+ejMZPpyMbQucvq0vpa2/YYKG41vmLeSS/wYOxt1VMJ0cchoExhoHGe
GLCcscwqcpctRX5IcbG+Wq1Zv+itoVeeBhHzvXKd93yaz47agC0dMp6P/CVk/WgZEPYSFVWWrW0I
wHT9yVDxAw8IPe77FFqWr84z4QIj5RqqBZwzXkU4AiiSkKSBUTOHfUne+qVnkPA0xQX9aDOPOzZC
873b6vNRcdMauAqIFIVmUkn2cZ4m37kezPs0w+G/GSpducPIyLKEQxPn46RRWXTlY0wpsVsA414q
xgP+gCenQvbV6bfCHPRnpcpb4Vm1btxVIuoDV+YVDTnT6yHRllOOx2YIkl70G00ve7iQqy8NgsPW
GI1lnwvkAKyi6uVVmQu5dZJc2WHGWQ4i1pd3tdDtQ4xD8GFR5/D/2Duz5biRbMv+Slm/Iw3uGBww
69sPMZPBmRRT1AuMEiXM84yv7+XBVJXIzJJu1nNVmeUkUQggHD6cs/faV71RlxclPJx8bxP2dz31
i0ui2W4a7E666er736kj20N0ycqA32gdv8Ye1n+EIFZtSCsdoNaYIR95zUmkO3SHmQeXEWrqrB2X
rRlRhvzy3xn1fzOjWhYF8Z/NqA9fC0iy7devPx5S//ip741c8ZsL3ozurn3KCPzexDV/w9sD450E
PY6b/PWfEyqzKJOnnmklSlQsT0yL3ydY+zdIK/roShieZ/mg8v/f/32j5Gnf/fs/ij6/Kamqtxxv
FbP22yYukWKEv9nkUnDYJZXwbRNX0aUwotEpzqjyMlj39EpIk95SmIbv0OVM9SsazXK86ORM9wZC
4wZegbVXYaAOdW7DtnSCNt/SpRZXLQVcFHRmuiW0pdiEIdPIemzYGoXu9DGfprrezPCgnv2wEGey
MrN17zsjiL0QJ2KgXvqi6s6gxIV7Jy7CjeuRsSwCenXLQqTbPJhYgkm+KFeAvEDJRXW+zgqPfmjC
XtWuau+5aNr8jH4B1tbY3fWtAijRoWwekji8BrniHQpS5h8kQcXMUa3dhStO9eVHAHz1Xg7Gct4O
GZqNkMXoM3v3CmZJjuuDbVEYXpbNjEEv6byLCU3QXT9isi0ydTv0wr80E6vG9B2Gn7KoBVJnpcNh
UT2U1BjJdACvct8oBLhjTF4Twu/bsirVWVPIYueSPEwDbBDXhfLPwyLFGjylN4YH3kbhmFvhNPC2
GcebVZ/Wzn1Dc5pMH9tc0/G26XZP7VnfLsaBBFVxbqeRcY6crdqmsuY4wu500yZmeVm7kYq2NXjM
ZDUi9xRxZW8lbL6LMMidvV2JfCdrgDxo+pbbSncaVWwEKzwYD2QYTV/mtHe37QjIJVBpe7uQa4JT
1812LoFeG6Oa5js7TtTnPpioms6fWAjavais5ACWUO4t6QePg0crO0kC94VzYDoj9pPJJRQxrXup
aMxPU5dv8b0z9eJEPrRu0+xqV8abmZhB+LuOpOnUAd+g8fjZa4rxWzjO/m4xi4loODjHW94bCivo
dzJNw/gQ9QKrJSq/ZwPVLltqWCaXRpkORxCIZDhQLolWsU+YZAVYRTeNwXssKcklpltcgwEuL7NR
fIgmths0F+36wIqS3k5lTY2X8/+1zBv/aNe0xPEH2Wx9Y2Hk6tAbfTzvoLwT5+z3dpoSnTGN52yf
d0kh2UmzFbF2cL28tRS0k+jJyvww05BaF/hTwxUiOIgvAKCJu4dYLTdJTSZ0iwYOphIrpmEghnYo
DUV9UV82rnwGSamCixpfbXSsRPa7GzfqLi8drIqeMM5aFrNA7rOOKDqCv/2x8L8sNnS9bRjMy/Uy
TO0N4CMvJ1jMCpYLu8BL4HX9B/zv1k1DLbrpt1mqHoixQg3V9GJLU9E/B4ckdZOnzQDtcIy+q6DQ
JeM6hgp/qGA8NR8kFHVaEnBrOXFvEB6U6rxoHa81qBIlMA+YKHnu+VAtu8BNEHFvyzAwn5aoHru1
WRnhVT2rXP2Ob1LWmM9Jw74lv6oPXqA7IleIF3/FDLeKOBQjhO7Le0auk67we7E79BtbgFQfMth5
Jm25z8oIaMV6xUAWvFNCNFiVXt+D1OsbHUlP98u+HMPcf8znynlOCcBgpJjQo87okJjDilDt6abo
lP0y2+Rm7zHxcJ5FtKxAMxmxTzVcUM/bFk7KJZcs1LWayRQP5BlQsAD1gvyQbke8Z+7jil3KsZ0d
IsCJTQ4+CUIoiofyWnmzLF3swXVkdcc0Gx1zU5YDBhM1qZC1vnCvJzgNO5rq/KuZEfbTODzjtQvF
4SEbPXlsXBrmcOSaGptu7o/YUiz3kv4NlNSY5AIbHcnGSTMwO7K31B4rcrQHbu/tS2AeN4XMLpaQ
GiyMF6e8mCInOgZVxVZy7OyIfZyn9Dk1rvC1Fz1H5sSV555q9o5Bq4l3NWH+Ct1424TEme6gFJn3
tJSSrSvbRSDEcYyVaxQFlq2+vPMGhRLNrYcnBy433TfLP9LqtlZZ3YhNOtkhIuZuaVdgRzJzlQMv
+lLP9WfWqOYKDaC7G5U++A+x6a2kWZv3RFAEuwl8yAfHDttbm8Mni0ORnWWhaq+hbRs7jc87H/C1
fqF14tzAtdi0CjcaU2dwgGVpfkyViDctyKCnQdQwDDs0MYfEqacjtNeF/aQE8FxPtA/HOfkUSUuc
O3UJpSKcdp1RENXQmUuy7ggnrdh4Q8ugQ7ncUIRIthF2tzYrqg8kgtEqdod+L3B5750hd6gMinFc
Ly2VHnZ90bWyfYSLzSS9Y2wxxfsUnjcoQ2jgcv37ifDQldQBGCH4nhuqDeN6wM24BZwf7l1uYAeG
d8hWYrQjpsbF/mhZdcNaSEPpeaCrfinUIr4O2O52Dh3vLYQ3cXDb2oISw/WkX3LCAe6wA2dabRu6
+VepOdaPyE3qyx6m640D1fSCPkyxXqIiuUgjYnRrKxqu0hLsqIMxSoNPPtGEjC+g4ka/I9kyr4JA
kBqZtC47gRzeVe+V5rrMLUBGnAo69sKOd+Mkatr70m2eMT+s6xYaN+3v7hbXypSv7NxzQd60PjVO
7btL0vLz2IZ0GKfc3KZzaZ5FZvg7KlV3LYrcZPOgSNExZgtLKKKAlSmMj1MRmFu7CatLMsLNo2W0
MSjdJqw3kwEdA92GjXBYdB8MCYplQ6GybVe2mra+MSI5GybXX9dYYdYLAeawwUOJ/J24bxqpZuqK
kD/NBChl0fftm6HbQB91nuUE832yo4RIBbrirG4NUc68Ve4cKUQJiRey5IU54oCH1p2r+Pa/+/v/
1f7ednXP5t9XTD50z9Gbrf3rD3zvP5mAFimWIMdwBQnOOsTne71E2L+RWieJCMLD/irE/JdG0xSs
GCdi4/d9vdLERtMiaVxpQSenjnf7+J/t60+BWT9oM5F/4jBDQ092l02n632GNaKhOCpnb770i8VY
UiAU1TyDvhlZ0HLI46SFpMt6CMPq2Dqw28U8w+JmB3Mz1yBBm5qKqqxKVOs91J4cntRdBKn+JufN
ZwtVZlMcULGHJtYPyyHPXTsY7yCCTQV1GZ+kUvtDFExAMg59Tl/Dhe9Dhxb8hXHtA1HIz8sGMZ/P
xkeU3jfUfHPcH0YcZNNwFqqe6uJZoCYjwWDq1cN9NfCQ742CfQYW20ja2zBB23nkWdoWfRS2myaX
ZdKrTEhDuUZEhrbGRTa5neO3zmJY6Xm0r6kWWeuxcIOHIpcUtal40/nFt5Fh6P484v+Af283RPaC
FGGPR018auqzhb7BLiqD/tmn/7vikMHOlwgg0nXY9sNiG+DMopdflCzOEyodGnxJ64/Yg3E0h/oI
awMwP2JB/ItRmA7GGRjgcd6kqRFSLJoFaJSNGaZJuAvsyoH1Lmlc9fshMNGjHIQZIqFhHkqHOp3u
3IwmNNyftuT0s8odiWvnvz3pV47BL2qotGkpWv5kRvj9uY04fHZv+9J//Nj3eUFQBxW0fsmE9uGs
ahX293mBvvRrq/rUd/4+JWhgK7YtnT1GhDQEhH+e+G3nN8d2cN7QqFY2ENi/VVJ9a4iwyYSlsuAL
JgbqC5KaxNvzPg3cujfa3r3Nhyxf1kU89ehf2w4N8Fi3n354MH9h/NR/2L9modPF6M3TZUciTp3Z
eWccCp3Jhr7c2beRQSJCYZfyYe4G/xELDdthICM4MU0Fxn4glvM/uDRcCOZmOCU81Lf3GRupmDoy
BW9PyO/Cb+jwwNdnmQarxC7cm9jQU33VeO9ggc/888u/rVvrO1cS8LKpBfp8ce8vL604LHwYLrdZ
btBR94yBxpiJMro6JzWDy005C/7Pr6lL/e8eNxdlqNisLacEw7f3XFRF0IeVL28dWciHgk3zmczd
Bdo+RaDHqnO8CzvWLGpKrYgOoq7vXtyqjfeZ4fIcaheaXqXCZDqASiQKaVkW+9n1JDKlABGnOA5V
AOE71vE8oJkER5UpKyxr/fP70L6Bt6NGSZdKmQMchPP4yXfwg6/AGz2rR3YuUZYZjBUEbGdT1qfT
zmvpzZ1w91P6yzxDOht/vqoGI8Oc4cLvk/Fcw1TJ5DTiNhGDeKAizZ4VNv43M5nqW7q6051jV+KK
zGySoeYIx83P7/rPL6ayBI4OxSGVcfP+XRl8v0DlMYlbssOmu1i/MLNPCEo41OIXdJ13DrvT6LQE
XB38IVzwT+7hYFZdgQRK3Nog3O+MKirSHSVvja20rPYFiYb9DDdRv52a2o7WnpfFYOuNjAXy49+/
cVAtzJas1pZ6H7cpbaP0azMwb/uu5iWxoWeWF4h7OWRjd/P/g5dEl2J5L/k/ypx3LlyIfSSOWIPk
yMDuvUD/vKw5pJXHXpnlMW9IuLGGtjzWdcwo97NFXOUI3yF0JYJkIpEs5dFwh+kuhEZP0pwpvYsu
Hfyt6Ng9RdFAOlwxJ7xlDlST8dynu5/tfv7ITuCDd6+IAudP1Zalgi3QO1lRkoVB782+uA0oK9a7
RTXN4TRuqJ1VT02DQZ7OP1PuzAPMgY1uw3jB/t3Ofn3AzUvBIUbfk+2XcSFZQAREIHkNhMCff86/
mAUVe2IPngIf1nnPOTAm+sluYItbQgx4IKfHLKqmehJmIB7qrPnVyGaX/PYtduGRn4zWFM2pTb+/
Yt6FMjHTuQVrapVHp8udZ/Q++i8WgoWeKLebxnJbKNJxEGDYGBIsCiP1w/u414UaC63li1UOjHST
GcA0eAliy2bi1GPi9IiQKLB4ccL2L9pBlccZKDqpbLF9JhU3tMx9+QtLLHfw/ra4E75ni5GLZp6+
AL/+w5S4eKmvasQztyg85rVfzUuzSZSRXFPqm7tDMUTDiBBkSLqNdBCrUP7Ig2jnowkieEQfO9bz
VLHdTuSwNXPagMNJuRJBVhWgH8LZAvnrBAuqh8UH3BeNxgfiK0Iihgn7a6gtaDEMfrWo3aBF4s1I
tFKGJUCLZpKM+DyvKm57Lafx2jy5kLlXXg1JoCiJlw1OYXgoxkcxq/RalHP2xaTbsMnYB0DbmRei
POZpiF5m/ErueTdHxSbuWL/PTd+BaFBbSXVD7hSFs+mk+rG1AMhRkQfOTimjeuyLLBk3VqDUPXzF
yMS4icZu1cihRtHghIhq0APOxDx10vuMNbPxoCK3XXogJqGDY9j3dnMm6zk2zgLa3xcyJH0LZV1w
btKMuZ/HQRDfhuq8uYUMgJgpcbrCoQIh6U7kUVhVNyrMs2ZNASYKNpD9/Mcw6ll2U8aImnteOZfW
7bbGmhlu2Rr4WyU6SsOUZ53nlsTHeF14zDZsAZmIh4pVoCX+BFOZanEPBRbMHQAeGaUkgaTpwktV
CtEego5AerW8CrGskyoLBGR9gV4KrVb4KtyqNFvSDuPoagBm9MUrUhf0pIxMlLZJswFTFV41EpBc
g+2D02P1NJrm8lFonKXUYEt4XvIz6rGSSiu5FcqXwY6jVPmJcovzkbqes6pPkEyNywx7Tc5cNETT
7Pl61hHd2D0lFQc/KqRNBlZuYpfDDQ2Ec9Y8TgA3L3ZtuuuJk1b1gEoOcOdAFiUUz+IV6Yl5xKS7
jMujVJtc6cCdVYd6Bir4iqjbQLdRhRwlnmY0hgR8EBxjkIeGw1r41Ufat67Fx02TAoQruYDezjD1
5mdxprsyTXnSAONLqFgemyFmcPsZkKxCZ5dxeF7lYZB9mIyWb2wOOhaFeSYbZVDEz638krkinhmV
iNsEi6ld0FReUzKtnnwaAJwShY5GjxOU66bZeKTWETFCbajlq08HpuzYDm975S3deoFq/Rw44whF
32S/2mXaPJ6PAH6CxX8csUu8tEtkn7laTWXYzEPKzjmkN4CKIKpGLZzY3OKPn2uHD8eJo4Q8hV2i
dyGopHNeHtMilQ+I+fVvKjP/ouuoWVO7UgGucdvPw40QOrcuXCbuidKuuAJlw39YVErIrOfwcBqp
OdddZvE7GoImr2hCMMX4Dp8qrMmQ8VU53f0hCTOYUU9zJHs47yJwWEQVXf1DUHrtS+3rR6lL9A9t
2/OPp0+b9z0lcgsU0k3JthOfoRPPN/VpL5JmRApfF3nawAgbxBXiUIGfmSCkWY7iYRBEWEmZzHd9
zHHD0gGYFJNZnruJFLhZ7x5nybMX+cxN8UpypTQigy8uGQy43duXoZk1tTZh92mmg/MMTd7fUnRp
X6qM1bb2w/opQXRirae4ne9OG4UF1cV8PiWZ+1rQSwC6PzU1H4ZybULMLP6zdawsIodqw7yieG+s
3TKgwgkztLxgGPHdneI6YcCx8LQlaoaAT2QmJpvwsiRf2xFp9YQdhNV8TqXRbAPps0tvFx06U8K5
Oqvbhk8+8DPkyVFjmC5qoyER5rTBIZPYJx43IdvodPix9NZnTpDZbaB12NDsDEIdV6pydQPEmb2L
KHfs50ghfNuz7PABK0nzc+UZUF+3aL6CzzCpuHhxeoVE4CTTbqBmwjaIlQfV43jr2WP7AjmX76gi
f1B2/KsfChbgwnaY20p9VEmpvezFLNgYUNU6c/mmrwq4nGfcTnm0CHG6i2c8QVBVMz7t0MdE14ys
uJ0enk6RiSszTFiZUohuzTYZ2K7aXjL3l9UYGtEhj2CCgZNAModldfHg3PK/CxmgJsW6kPLMOuH5
j9MQq4ck9Yia72oz1k1LxkgWZc4zvgOe6VRBi3idBKDbTHfEhPFUMlopF6iMrbMaBtCxcvXl87Hz
1ol+67NOVE+JKMsjuU7Nge1+fSDHj281li36TRZynsPIFtQnLvfRiMiVmubQfW48eDopYB967PFi
ELHm8MY3aIgGuo2MRHtKRHscY6YAB7808b5NxuRjh3XY3vgTqM4zDz9JsEpqiGM7idPikDfU2uNu
mZDzcRxtIa91bIoIPmQPJOl73c9m4hAumYgHaXicAdDgsDRNnngYrYaHbMlZgIUOEp/IsdivntwQ
Mda6FiPxZfoOWYnYI7cuM1BTgno4HXjBrlZPi7B4RUOOqDFTt7kaOdI+9DX/sUT0YG07vUtb0Jtn
rzvG07I5LyYjqsqALpIyzb0vTgVPQXoEw/Yy3zQERt6dnlpTDZO/SUaRLZtGf5zI5S7SmLi8qu94
X4soxKuUEg9oLjNR3spaLJQCGbmuDsX8FzgavFwAz5gdo7ZxLGzg5LQywAOqoHHgWnC2VX2YYyfL
tw4UBuduakYdikqPc1kbjek825OeWfjd/mOh234ZuOuztC4N4PS+N2bnwKr5aXDnsr6HKDUyRIKU
Bw36T1zFyWnum2Ri7MtQMMmzFQn1kdwmsXJNO6Q8nh7A61ykD+7QYJkX9MTahIoV5zR2g1BrQacO
v9mk4vlzwzJ0exqftuyDfUIhYD8UtZ1eqt5jiHgmGEAbPtF5FM70Q14HRI7H/lulsAGukcc1B+Lu
gAvqvmjoUks5jQp3SnkpUhmIKxf6017UhbgCEMRDSFuSv9duUQiwck7BTIR51lhjxaUIAVwnXlax
viFjzBl94HbATdojvzazESJIEs3jFUGYzYEhJx6cyC3HjSCqwVvj62WFgaFg7cqKQdNj8n+0rFhc
O9R5bzmpM6hNQ+DS7kZeldMMaKcdXr8yUDxsEs/08k2HEhmIGnlt9AKEbyy0SAuvho5JoQybIdjV
hkdqZ9HrT5v0kDK2Vj1z3RCP0F0+4x9dVRzVHv1pZuPnhNw3meg4L0YJL3hDSXnSlnajQvosvHg6
dP1QRNdC6zLOCi2dbcyBT+GQQUjAYlwy2k0RLM1D5/RsQkIj9R9P/eKCXjz3q/zxxu6luu+9Kb+m
CfglMgJjDSuhPTi4QFAVMrOPaZh8Cy10I0pz+yyXI/V6KHHpWxPLIy08VqSZPOw16TOdzw5ldh/T
ZOY5xxVfaOmMy7Q3+oSggcKbB3qcJe7iARIx3b/k0rJbIbDNO/kZJ/vpUAhkH2sCbYrLoLTKb/6U
sV9wJYAyOhaMsKaV+Dimqe3Mc1CMWXSOS51CpB9F7KmIs+cEk9GbNUpJFYYqW7+us2A07sNE8vU0
hNVTqfIFD8lyyLelAgh31RqZcBo9+dcDe5xcb+nqyIN4T6TkHsq4se51S+N0UE4zZtnR8nlV/agu
sEE0fLxgURSbZMn+gF4Gn3Q6LSYB/donqv9l+rVkj8nq4lf+NtFruKA5/BiAJgpXp4NhaEJVhKGX
4LNtOua00p1UcKSehtszKv2L2A/tM+2suAonx38URMS9IBX1Nq6V2mecwfheC1eyfiKyZLTmIbPV
4sbyYeDK69O86SepjjFkwdyeOjUy0/vNKiD4Fbd4nG9wFzBHT3b1dMppLbGDwkTlFeoyxAZxYKTn
RunsiEHmcy9LyQrE2S46SCeKv9qDa7ZHp+p54zotjnHS2r8wXncYNTUSnaSYp4Vnnym1mOqMA9vU
HYDr4H/s+2Zfdi3RDraUHmeVznk200U8eJ4oj9wxsxJ1Hh6JSgyWjSCQnCRyl4XFHWaXsHLT3Sy1
IveanL+rZgn1dHDaMjtm/s3FJU42OW3bHYHxhM27cyd3XDl6QJYyfYCgqQMv5vhD1YfppuUNYXbm
tLPsWBB7Ilnd3JTI7Svjpjl5HthO43+wGms6YBc1vvSV5bwkfr98xR85fKPJ1bLdHjNo+u4sjwJc
4YXQZopM2yoQ7uGw6E9uixpCab2ty6k+d6wpvooVnowwcePf86oL7wk5HKZ1nyOPSbWHA6DIfOVb
VfAhMlT6hZBy/iTnZPeIT9YP8lA5sWbAdMUaeB8oC+yS7tOpOvNf1+GvOjzuqYDy73u+v8ftl7Jo
4zfGQ+v1p/5o8Hjub6cyMU1fOJ5v0Ne+/I0Bjb+QRHfi8sj8/aeu06bJ61nsHCgJ2RKTIXWcP/q/
toT2YynqGS6iT0qTf0vX+b7wRsIftVQaSujAT3zut/UiGhNR2rNSvm42m1xMN46gr7vMM7Ne13D0
+XuVPn1Bqvb0eXTdzRXvClQpd12B5nCOFkKYDYEA6K519dqFkXIg+uNXhb73db7T9SDQI1llrgMX
9/YGwfssLexYm0CYyH1O9NHitFltneFXhfn3tTcuxVdNS4CGBHZR3eL/sfbWRGMU9qmwj6k+g8eK
VhW6GKYm7GbMqgtncpUmzFf6oPbzp/oXd8lIooWIvoA22nv+7Vinw4yTwT62krI0bBVdhncKLZML
2Ub9/GJ/6gpwo4xAAVDKhX7rvS8yTqjhczXF9nEsaeZxBGRHQhypyWZ46BSrRUEZLjpHxstxZ244
JDMHlhxbpiymrCGLX9Xq/3z7Lv07TB8IpIFZaXPvj08+ERHn3DCwj95oc7sglnVFNuUv/9m10GTQ
eGUIM3DeDagwscwMhYONBW2knmAb7YuCNH3X6231zx+0HjA/Fu8RXFO3h2rnKCRLYGLf3ha0a738
9PZxCKJvrQSgzQHm73ZVThehwXv6O7PUu1FLYdtWnczs45JSuE68gcOMp1GAgr33r7qdQj+d97dk
SSXo2+ne9XsVOWwcMSxElhwTCQRvc2qgiMBg9501bfXk1SknInfmJdUNpznqrDMogdarZOGNuv1H
NftfjGAX5j/1Z/2q6k3G2ycbgK4MAjcl1h2PB9kYhTBWWGm8i8poGaEcfPJtmkr26vMCY3Rzenkd
3QFlBvlVB/qvRq9tk0CA4o7J8X0rIs2AA+Vpxcs7cG487VPHgt4AJxl/+/MR9VeXIunEo4PG0vKn
PvtUeRyxVW0dY4fH6/ua9ItJnKneg575i27E27WF6VvHOpiKZAXJ5f40fImIR2VcV8Z5QI0A5LrR
0GeCtPK0jBQqh2Jmdvj57b3PQ+GSWMBw6ruQ6/iC33fTq3SxJQ1v/9wMqCTYHmnxq7Zp0cHg/7yL
W6Q929NpIPKo9OHwpRpK9+CoDMhA5Nu79WHRsqbTDPJa6pkXqimrIEIvv4l1WebnH9k5Kaz+9Uqg
+HBxIugmNpIOC5HZuwkFnU9iT7lln7eZCXZJI4tKDS8KRZv2SInzmZ4ih4UGxFGZVLMLY8xxbxuK
K8BmEtKeVgFQ15jWe9i9LFZOcBUaRXf1eqqV9DCiDTtDqjCO4JiHxJY64OnQA/m9OZgJP9boSpoi
76/BACCts1Em9VOnu1ZeaFsEyfMAgbkn8w2yRGqJEBb8R0iVRgIfNajFQbSEx61aFTXjJvcjN11n
TRxYOvzbwuNb1FxDF6hAt1GbrT0MGvZAxjQ59hTl2qhkhFQ2Ryhq9t2yN9hyu+en3lzbhTl1+EYU
0XmaRd0LXaT6SVWFrM5zEc93wmPXYsjOoNYDQTz+JGafr4x4VjdNVyP1oUcyrBl7Xeo+AxdjtNsE
XT/PwqdALkjnXbkDhducMukXEtnlYahVfde4Xb53Ro69iri+YcX8OzirEet6vj5VHw2Lgw41DXp+
BIauYcVMdxntwkfS5eP9qUF+ah2fTqjdInk+xA2qu7YNl0eJofCl8nU54CS2E1PTvqRQs0GSWR0E
whYOzdrDuvDYVzO/Cxk6HLGg4E/J9bF76Xhu6P45lp1WuYKVGsWuC0Z7zqMmOWAnRgk6Q0XioBq5
Np2JYl7UeaQ3Jqce/an4biaS0y/dtGmbmQZlw1OBFHsaoyZFhfis3JSnSZRd1VEQ8GaSYc1Aueen
o6RBfavdt/ZAi1hOWgBiOSrNt03HuuiWEe9faYYzEInFE1eRQeNrMzs5JRkK+lQuFLLe6g9NuygA
7JI6hZajNZHq7zEUeFpLO91UwmMt6jqFuGPOWJdX9NQ43wN5XC4XlS0hYaK0cIeydp5dumlIdorG
zzaI/5v70FrkYVlGPBEydO1PxTAUD94Sz5dZDS2obqdSYKWnrrcTMVyumFDgszDTrYQ2myZUgEvZ
b8w2cKnOLTFRHi59sRX+ZO1z9MxjbkeEIxCG7K9jp6XQT9uDML5lfkjhzW6BK1TVeWpqkS9jElqB
2Ra3lIw8EmeCPqdg0HTfPHvBYSBVfwUgn0DWeUpQK/YpM9N60VXd0QT1uOoQfHwkXKtpd1gb3C8o
CdGgd0VxQauzCXdayIGNoa/ijUjKYj/gobzyk0EQ+rG00adQd+CQj1eXwCrcPX2I4AiiQNVEQo7u
Eyh3iLZFtXxCilmeA9cMZxRf9vKpIL9xi6lmWbdi4Gv0kPqQYToWnwiSVd2G3nK7Sc1G7fVmFLfs
RM9zoyUG25o94AqheL5D3kxWSgQ3sSjN4K6n5HeGnKU6S5qo3c1OP38NwnLcRkZs3M5+mX+M0wGb
/FzAty5iULi1jqdMm2fVQUTwKHRvAogM635oxC6vSv4g8rNJxTCZ/q2gLFc4qGAeuor+U7emSqEs
koQR94Sl/uYroo2JQTigw5+dTRGDybYDwOUrMHsBVFJiSL2yainLt4CYytnYyrzsP1SpW1froWh3
vQbOF5H5JVPQqohQA6/pi2nXGoG1wSELRAk//i2rEvEvC9P7hWvXIzhHk29UoUK4oP5Q3CD5qm6Q
1zGoDYAz3fOpd2jIhFcC+KgzbcsKDuWR9BI22NKaqKEz23YvYWMyIZWLLx5mcnUkrhU6WY3C2rb1
+slBzo5BmYIq7mZ6yLTiljWt//IpEDTMThUvBXvt0LU+67HXOwE9DGmXx7LJ9J8mpqrdv+rwUEqw
MdNiX2PiHEVsNVs4d6BwM1Q2r34fOYSIT9hdD6fmU1UxbOGykbhGmGWRPcmyDtnPRfhshAVRC3NB
1Fb5JwfeW/VtrgZbtxZBMWWqa7dFYo9f0aTU4Ro+tfM7FA9Qe5GPA5rgQjBOUxj3JDIm0ed26J4T
yqpbh2jVcE3OYt1+zMBjGvfxUqHc9WTkXQ1Uy9ZuFqfbaBzrA0Ggy46wCewUPgE2wNTs8QNksPyO
FsU3mS0fJ2mL67STFK6ArBA34GNrsvtKvoRdFL4scTzeh73im+ONT7Y1dVmfVoQaIY5HMU69OmvV
OVwFyOTTmFWw7lzm8XWKF2A8QNowcYOV82XdwutxlykGqpKnvVi5fAvAD6gnPBrFAA8WG0F2OTWN
fb2gz7muhd3f5THJ6k0p2i/2YGTbEg/GZ8KBhmPnVgsVuUACbG09K16nEeqJERAZqMA6Y7rwA2eT
5J59jlzhc1AZ4/3YhSk6ut68bOLQ+ZSOLimfTRb5rJWavEINO7zyKZpdNpNjnRv+CI0nGsL2WcZj
BQ4dmUIRO/1RkAQIFbVrQUoKprwdebZYG1FRymAV24i1dxFawAc3rSoI4dZyXxFXfWHO/XLbRXBv
/CEcn/qsq/ut2bZ2fD4B83MgNKKxWXnB6KVX7kSBe+9HfXvglGtckChYfkDoLP21kfYkwuO1N4nd
ZfBcjazw38iiay/7CnruxEJ4LJIWMi3h6QFVe8HxImJy25MLImJayhXN1nBQw20ohxHDUhIATMPs
CZxu6gipmDPnAtgu06hlEhC0rsEqjRu8fX2AT6SUl52aF2eFgkp4RGSSD58y+34tJQkkO5/MJ3oB
1Hdtu5ZbK3OXQ9ur+K7NRf2hF3P76GWzvR0mxPhLMtEVUYSV2qCMBDHqiYJCPyq4ksESvSDQYR3q
TKKBAmOIs43No7oZFs4pRUYJe+3gGblGHzZ9MJvRwKfSIaaIrdraeYbVKHiYhbOrW4W1tpSx3+57
xu43sDDT75VndV9I6FQvowvJY2fS6G3XNL/ouiRlpppV4FG3h/xRx5smQs10UF31zYmm8KZNkBUA
GW27c2ucQEaVZVFvcPeALLSRoOFqK4DCZvSFpekG3cYPtZt1macJRVFJlpTT2x0ct96ki2ur4SOh
RyWymnBJrqkLK5M8gSK7JrEyg9iP3x/hsMW39sr1zF8pn1N0Yn6e9uv/rYX+ohaKSJ2Dyb8vhW74
Mpv4S/eP8ts/1mXW559jKoOvQvqzl//5P68//0dRVCF6N5FRAQjRKLaTvv0P1btSv1FdAS2iD0Mn
+fk/i6KWBzIENgZCeQoHnJs4cH43xXhUWX3OHGRA0bGT/NLfMMWccip+PJL5hGpyfNTVEM5rlr7z
H+tJM50SQV/dPKSAG/LwWxYa19McnCVkahZjcYBse84WdesH/UeR0li22s0PD+/m9Vo/Vij8t8VE
B32/yaVdYVncM8Gu7yoUJY6ByvNC84CTHMub/XH2K2SE6RY0b5hKbU6tNYgCTJadEedZhcke0Tdm
b/lkg6Jc8M7ihb00F2MVl2RQYDStcN4TUsrs7Awr9K0bY2AZNasvnD/5TZzFClLc0k9JS8Qp/ziD
FSWm7kO7lPuYyPfW2M6Of6D1hkUH1dwFO4oCO7rZAck1mtayNiZs7NkqHmfcJg1j4jC53orEwZUt
rWPYj6A9YUqxOlBkyrxVDJuWeAWy3Tur3bbphW30t1kEQ2Mq2OUQ1Hvr+k/CMrZtqJ6Xlk+QJwKF
HrIFV63z2me+iNhgZxs6jeumT+8mI3hI6rHZpsAG6Mt+4jBg7v8/e2fSXTfOpOm/0qf3zMN5WPSi
7qx5li1veGRL5jyCBEj++n5gOaus6yz55P7bpFPW9SUJAoFAxDtk5XidiADrrPrrgo0GjVxg7Krc
+wu3ofClANFZf6sm19wXOVqus6m+1VpDk6h3XguFDaOJU6IvuNiyywrnKqny5K1+8Z/g8ofgokGr
v6yPzfPw/DN0XD5Xr//v//5X+fz1uXoXT97+yd9NFhcTUdg4cEc47GNAQGT4GU/C8C+XciPlalSB
oDvoiuNPKo3jQaUJwOEDbnd9qjDwC/6OJ+ZfNj0RCt0453mmE/0rKs37Oi5rGSQb5lGYuNmOzfnr
aC3nVmu7wnENzJRw4NGt8+UwRq64/2VM/iFmvC/uvV1Gl5Ig7jhm+FtRc7FEP8tFGgexAJArmmre
OKMZXlUopFf/irby41qRRXBi2UbkHz9sx37BGfMucsohTnyYrSa6or8pL3yoSafuYnJa9ytoxR8/
HMH3XelYX5IcEvKkLolbFPk0qeWXS040RDsr6DERxnEQSCj4gvOmH/GDbgygseuQlPSRLoFj70ws
4HBXoGg27wGB2PW+81j0npToPI4TqJNW982jZqKqMEe9+bWesv68i0S07+Ik2ivtOVPRy13X8VSj
0K790SjUQoDphwcA/PVpJPt2Z8QVfMF5yKBv51690QKZ+7kzAT0kYt52ZME3SPctrxFwkMe0cPvH
oCUoj3PG4a+s12NbmocF+dsLqqh+uE5zZ7yxxVh9X5yluVoclT/YIG9XUM7LndeltS50yPXY1Opg
NngNdEtn70PUCXD5ntXWSieU1ImmZ4CGm8u+DfHJKAvn2WQTO5S+6jZLb6hDBw2RqDxFMX6qht18
E4C3znFBmm5AF6bjChRVCDwhdHemsPunrCDlLzZT2gd44gSzSpR4imh6zuIc+cZ8FyBIUq8V5ksU
0NMGJV/TqeqvYw+0FZBS+CnHeeI2SswoXStTRC95KPBwtyKsIlYVhpMFxJEMRANYGLCooZN+LdJS
W8XXbnmFXAHYZd9NmvNgVOPZPNbqMZwXDEfjrN/YGDCeuvmSQLDOcu8qc6xb0k1zHWvwStpF/lag
uP5UBY3cNZM57ELpk8BPjV+99Jrvmdbpt7nP201C9fwsicKxXVkLroBbweCkYAEvOnhwn1zHNm6c
OlvOzSVGBASmUXHiow6B+WqWx5gKNMadi8bySQzZ4SBVLbbOnBXnlFnHF2Buw9fComq7XRLsFTBl
yKJThkBs0tj/1g3lWlnIEwCIBD4YlC+mg9OOblTgtTCtgB4/RICkmKRtuTfakCTbqKa1mFRNAo/K
SxRz5gva4SynG+gA6EL9kbZZ/kx/KebDwRcnRkMyBaewnQK/u41VaZ+jP3jtTUpZKxzpXKY2q2fy
bHkB3MTeUjl+narA2Hm9MVwUdr181VZoa96s97WdiuIKAQobv69huO28wcAoKrztuijbjt7y2Rh7
59JeUnsLfF/gg7UgJh356q6uo3GdWJHczZV7U6vqU0C9xj5kRagoBAzUCbBU8jP8SmI5js3Gh9qV
U9EMW4jCi8jRy0mqAs8De5yRXi07YB0A5ubppIyoOVbrNOkoM8eGQb0VvU4w+cihjEIBZ8HNbwPs
SuT37k/KvJVPoVT3wTyk28gSQULtEFGLNTJrGXY1QE2Bf4V1vVdy8YPPk+EmIaCSwvZOOGbCMqAu
Poc7kYusQ7+6GnzyNGQ/byVudeHOaTOZXFJvHxHXrRCjuU58I0GtovU7kZ5FnN8agNWx8p7sNh0B
cph1jLS26qfIfsxHrDd33USMfEH6lReVDulgnBZzm4z9HQJrddXtqWcXT4bXFneYUWd7CkOE4aYK
cOIyMeAIEDLBx8SxY9TURt859SbkuFcIxijsFIw02nugHk+Vjc2XxZH7YFdw3VZTMWO3VekCk502
4J8FkGRAMrEf383zqL75dh2HK0B7mE4UGrIM55tc0q0BsWhOHmiY+jSbQEXj87zUZG1xzGIPgVl1
rq4bBTKwdhYNqA09A1R5Wg7VtTDDaWXMKYbIyKN8mXr+r0Mg424h885XHPvHdiOlqm4mx21fXR/u
DTcC+xphNGC1MzL+m9FPynSLSlxzEppldFV6mf9c0h7GXhDr6l0sggqaBgSJdRFW3Bs0Hn7nGUP1
3Q778tExB4pkBSiCDVKczV1SIdNHQa6hSDM1BVa9aVy+5f7/yQL/mAXqZvr/fsQkCxTFURKo/8XP
JBAby7+A+WFahYwMMt46zXpLAhH9/otepGWCWEA6kYPnf+eA2M9DyuLjUKk8iIW6Y/gzB/T4lQdO
JQRNR5sfzYZ/c6bUvOxfO9/cDvBTD7MtJC9dti/dLf0lfUHYea6q0XRfU3Np8+/sJbFjbpSyjQ4P
7SG350fYemjMi9kpKRSK2fO+TXHZ1udW4zWdvWsNF7RhgSoXe2UdxWaccohCNOWhN1F3JiC7rb/4
qyyeEol9uCM7V66dEhd3XAfzUdhXFt0gKjcJMknqAVov8PeSzRl+o0vPzMYYZgSJsEdXLevYHdlK
o35dqgl9sV0tc9HCJRBpTIHslxf5D6nrMS6A3iendwtqECgWttDj0WkEjpiDWLzXVigJ5K/C9L3k
COk6pEZR4kVccrKyuvre+X0237uaqdyvbSIlz1NbKpkePr4lWx/y/6cIgAx8EEQWJEEv9OiYR8eY
moC+WNWIPnmx8IkqLjBsT36YwNOA2KeGn+H/iL0CfBYIIW04Qm6boHCtcrNtiudmEjOmh8FIXfiU
zVzgDr/EyYK1dznxKrYDzVMywt6PjWnrwwfxL5elAI61rTgZoOZjJpQFoz9k0e9PIi5FFT0HqZKg
HoK3W3SEKInTghozpfhXU0F4uvPqzGhuqxK73euPR48V9evg6eqNo4VhSfqhKnO997N9JsZGC72K
F4e3bTnbFsy6i7q8yQqfnCB3r5RoPIqEs++V2Ei1WFPIW3baOv/+8Z28PzboR0ZxwXageYIMABag
h+SXdWehf21GU+6/SBH2/qXXzjkm9HSlYBifko8tmA9/fMXfBpnCDQgLKMqWSTNJh6hfr4jVuhFQ
IHW+lSOulfOmm1s0E1cyXOL539kS66cjcLkWUoZEPo5iRy/URp2qaDPPfpmsBEn3V5u0Pk1P8Ppk
3iV0Qxnicva1Nsu/fUjmECRahGugoNNbfv+QkHxED8RYfJvMaMRhNQ/KUN7GtoFDxh/G8+jkpx+S
ShFYR596HMH7GCCTN41VKGlXL6J0PfTyMtrgD6U9EKOQ6k/ipL2aoiU2q/MmQ7HJ3HoyLZbHXARt
66yqkoAIdhuXy+gGD1jAlutUaq2yApJmOB9G5brVn0A9Opz/Ej00YMvCLRgTRa3L+ZuujhUVIf1w
s/4GT7jnLpCVKPLvElsvSJBN5WMnG1cS0PWfBuv32actTDkrInII8OY4bMUGxhEYLBhfFw8+A8h1
vN8o3Adhm/bm2kKrXJQHlkkRPENph9S16fq+xwe3goUt77NqUXjxAIlfhq+Ib+YRdjS+PZ95cBfg
H308i1gXR+PEDQZoXLFM8PL9nYftJapFuL5vviL2D95wRe1tWK6FP/VMqmUmj5f7SIBruDScOGM1
idp12QxqH61gMnVU1+dvTMAq/+4Laqp6+4Nbo1bScpv8+1sARoue6OJNY+J/FklEQxZTs6Bgpkr6
urydukdIjhY26DTeCBwoHaINkaZc0J6nMrzBW3mYnpZZpxCrDuM/xsLOEfLsVvC//S7f2W6nXay7
VGW6BOLm1auvECiyKG7GYrlm+Ufe5xpexfLYL+BdaIK2eYRyooUY3mfQd21eb0cfl7jHZXACeS/7
zpe3IudvFNYHORFklcJq4Z3ZKSosaI06us24zp3WYKFzHoXdAuAC/6wEy7Parz2sLXObT+I0GfOR
zA9E5SMYN6XDzaCCis1s7qacECx6pPpnNPQjLm1kKuLj1B/01VAeav1LiBBZ94TbFELMMYiP7KJ0
oXrslSWm+iztjHk8HacR94X1FMY68qGtZ81noRQpm6UZD3rP7EL69f2hDSmO2OvGrduiwE3pxwN4
+ZDyqOjOR36+Mc3YYEA9s2b6iSnRQaysAjS6tx1YDP4APT9X+Vq0BZCWn9/RtR34JCfDRDRdM+UQ
l1856eIxBiO2Elx6aoEtnc5OwzMlb6OK5iZYIzg17cgHlBrS4rQu+xGLeSuN9BUdIyBrm1tIXVCs
5oC2LUafqLXEqwbnpvy7UzQ1kwa50ry6rQevCYJd7mjFl1WLbiVrStYRLXYEY+FwzmtnMvlCwBpW
HOwG3HxDuqrulCFSWE2SMWwmoDAlKnigXuO7sAR6nG+QiYVfehJTcYAkgZWLzt1ya3L43eyTLfIQ
eQQl/KJzYlkn28bo9XsPbEkU2PYL9Mhq24B+5E56OLP8xCm0c+RpJKTLtzQYfrAUIPJgsM6bH6Bz
QY/H9xjqPU/PX+LqqO/FjVLqqmucZFmCM9BNZoqz+D5VDyqU3F5Oh1rnbbFEJP1SoLXhfUZYlB/W
ERZj3FbuYi9RrjtZMYIjHkoM5xJCB+YoSAroHvJhomW8S0x8Goe1Tq3lfRvW/JfmaskCDnL4iJek
jpBetq7KWOdzPy86eKQwkJ/zzun1knYp9jUbjF4QTIS9R94IJKK1HHkfUGFgFGg7tmI+yMmke3kh
ARnxhV0vgNmtqSuNelY7WdYPm7aIFss7TGHpTagrmPdR6mWR3Fj0rHRkSkvU+Xa0wXeQSpLW2Q3F
nOCTxtwGU5VIs12uvXmemP6hoGrtbqOKskVNogCg+tL3PFngTMWRHRlOP86d7KqxIAiKFbm6fsOg
VJC43dmsZeTBMDdF6mYFkXZoxHoqaZKos4KTLfcIspZ307ko6Xoo/lvgIalo5nPS3AFxjN36shFN
hBwuntJ4bW4JxISbLV3ifIbu045NFCEC5IeTXEGbH9JD7OSjh1ceUmpu4X9b0OSEc0iwnXlm5IWL
hfNzn05pmpwXDYq6Abpo1FWZPFmuQ0owqLlrd8Uc63lp4vHGHIqdrCuSs0arTrW7zpZjj0CG5xAq
8RFllDZVwfuoVxMkvbG7BKmEfRrquGjeO9saMQz2gmbGvsxfoxGjoyC4HO3SbWZtPMidObSKT3KE
6fjd0Mc6LhUmPjk3kPp0RpiC9SE8te7kM35DahAdJKPIWrDsQTChJOYasKZ5+/hynoVwbt1DWIqF
G0fyd+TSrgWehqowxSf2+rkN2OUr0AOsvNAt9SY7DGPHdJzAhDQwG8N+Jj7MYWq4V3iq9hDCCFGe
e2g7hHfSLYoYaGos2G1wfZNCxfwNF2NOI4s76nMIUV8Pjmo6p4n2BdVeiN9JmivHOBnzZelps4VO
suliVcdYKI1xdwcVkoen3VcS7bXSFXcc5MpglLDuCVjYORJzTJ4wQykPpYS3aV1lSv8O7QKHibtk
k06c/Uab7ayFEbJpWWijMsZO0Ee9QqyjTEzWp5FkrFwXtFhgrVSK0sGljeZVDgilACUITNOa/S9w
xMv+zsQi9T6y7Qjd6L4Hg3jq162EFtjIsf2G0F5nQFqtDPci5k4xxKnbrPtC2RUgTxHgmf6C0fTS
I2SMc9GzWqxSXS2RgfqrMkrAp9C2VFuvQmipaD90LqRETJAUxjSXfYcMYbOC+VVZ51CsAQnF4SCt
dcc76gnyU9gtObuw7N1pDVtW6pR+6dUM+RgAlR2tQOvPwxNeGaN755cITiRrmNQFZgRRac8YmrZo
OVjalyFOhpMhZScr18FSqmXZRFm5mBh72ZgFnlFxi8eVPxQXaGtY7U5GAT5zHgnacp/kFOHY+Pwh
OBWU32iduoNtrWeLCDev/GQQ0QbEaZCvTYg4+Ep5ZXIIbGfYdI2J4XuM4Yu5t5SV2ru4nSyAddh2
LRnSG45nXLf0jdyHUXR4EO1N5Bbbbhs15jTdT8PkDBcGUEPjFuVksTwO0Puwqul9v39YApgmDZ0H
P+jbfTh5KEKsTIk8wAaxw7LYx9kAX3Fp3LAC41M0jp2ug34ReIlZVR7WLykyknLShoFzR7/Ec8Zx
PQYon4N2E95g7oe47jx0VAvTK/19jF6af4lyhlEUe+m3pLXpa4rM9hBZ6yYskKXdWN4wL/4WQK2D
LHRv8zD59c/s25zL2LduobA3wNNUk+kNta2cqvUe1Oy1rbtpY9XHSCOYyC0WuMUGHtlYbCoWTI+f
JPMf9h313j3EQKm3lYhAwuLuQp0+9mzgLAfcQnSEqzxTZ5jIdeFivcvnUiWoODuiVeHZ0iUGKSkq
9ZKth55Dzi4DwDWxlz34Xb4TlGGjsz/4gfrkEOSQMyjFoI9JT2rsqsz/jKMWTDU01CEKRnvcpqg1
tGPnESY9Icjsw4Lipr13bY8sWJnkbsY6mlVLLMvDTG8aaPnHij28gnqI+XntL84BcEJJSlTT1ySm
YDFl8qDkJeglrD2v6nVArEqbPVrRAyU1QSJpYIDaOtA7JxjfiTvtkzTg2iMSyM1yJ10PUPq6QXCJ
LzPx4WItCa/B3WQvolzHycINcK9DhsiKuKM6bgXWilEf6Xw1iiXRxh7G3v8Kjq9uoA3nQX2eNLlk
WxzaVudSdRvolCWNBj1GiDT6g/UdRUOErjaqtCQ+qeyH1A1ol8QTYxuZUMyrC2L4rFOkH+UeH/lO
dqmfOxgkJsaxaExdsfAjpe/ecmKDgQTQlUfNfs4qDh0lcnQkriH7CncwCiNl+vw9EkvHElqNrbOQ
kaIbxzc2NAsqd1NY9RwiOWFgs51pFWOmm1dNsfcZ/StqT2+vkQ3Tsh45/o3DfdjFSAbsHBB6vKMR
7KRF7wjRUJVeLxCyMIeRBTDl4pC2flKpE0h5vrxHe1Rnsdi16eJT348yS09as9ZJhTnQqVSQ0fEh
GyACdUyWinqdNa0zBbh32Lhwn0mc7Vhn8xIfrd47mG0iZHiNiY3dZOc+AC3uZ15wUqb75fQmjyoL
ksx7fFT0EsGDWhe84MLygVi6OlGzcJn6nHW06bCniceMtmZnB0A9N8nb7ppKmbBpjg3tIX/tOC1Z
oO/0Ot8cfD0f4zLPyaxNRiD/Hi9BzQ/8vf40WUm/XKsyDNgurZT7stdpGujUkCJ+opN5p9V3+7Y8
ioHu1305qoaX2gsCX3XuTI5MvshQJbSOIdiAy6OVwVwoka8nJ8h3bu/quVvWdlRfVMpKEG1OSuyN
x1O+ANuhTamamXc7GrLiWvXS8whmK+kN5wLfjXwTocwib0HDZf2z7OFOVCtYIO1AcJmV65y7yhoK
7M48m3kGS1kfAgG+cmIDqKtfCKbIpJccPHnPw+wt85mDENB8BvxhnoA/2k5XPMvUmhiU+C3zEYkp
yTVEE/Y8bTZFBYnBzxNxuNQRicGUJMjmbuukc/gp4czSb1FjMqZvjhy75do0cNxYIyWUchyRaZ8I
JPP91hnvwdc4o7E2lMX402PSh250y3QWhtCBPuQHUa8T+QSYrryPRZzw1gYMzEjXp9BYgNT30qO3
FEReQx+PJIQYsFgdR8aTDrCmEvr8wHTyPS5PaS9edKhsicn+oQ28iYZeHUxM/QPgEXqKcxGSR70t
vVqWOrUqjQq+ODpIUBu7zSCl0BOjVrp+BI571lMyMENVX5nuhHQxA7LoE7cXGQMDqaxAL3FOy0l7
4dOu1epuKk/2cVojmwq7fxEngLGt8hDSTBc9G5vhkh8A45aETuD8DV8TuUNPrMq7WmeiNja1xBn1
dmpEngMc90kHkJ8gRcI/+mtB5cout1Ei9Snw7WBRxou+6WaZFObGrLKZftUQLpx4XRnmTHQOSXT0
1yqta15pZo361kcUCJMK1/MxHoYt+u0uSh8txRE+uMzMKKhBOmANvEYD641CZFmNGH8mFjoDqVMX
z04z6RP6/BY5sF3RiW5lFXpWflw1+oeaEZAd+Lw0dAJUTI8KrDh0wOmJSvV1igd9zpTQTFJvY2BQ
UeLEOfY87x8ueVxVo0wVcjxFMRBySUji9L7cidFjHZoDzXvPV7p78zY1SgxS2Lo+frrfL6WxSjZs
ZRpGGsnz/lI2EnGLpDrxFbC0jk+N7zqojU0Ea2LXx9f6UQ38tUxpUToOUNSEyOqAAzjuuwjTQrQM
eMjXyalQnjsb08pmJnr4NbAMUwjh7IWL3xA0RiSYgH6MEv+xcg0ZgXM3VQjd2Yg48urY8xaZf/Y+
6j7RR4Q68AR7AlgDxU8f3/5vQ+VQFiaxtQBwWcCr9O9/qe1PGGfi6hp4z0NmTdwHG5Q+FrK5coT6
+FK/zTmHwjBOSj6dIHj5x/Vu0qjMrkmgnqMU1dn5EM8o9z1aS6CXiB8nCPX/4eGOWyhgnCw8n6CT
UzW1f4Nz9Z1wwoT6/TM65jpGDciHLddjRmS/TWykk+ZNHJHvk0zM/PyKA7vZXxHtKu8PdNnjYaZr
6iGwq7uqLDc0Z98Ps6qHSaoocb5Qk+DoiAgIVSpczPVx/t+Nso0WAU+Lkx9Xozh21CQtSAyx+Mut
LyMK7sUFFvb6aJ7lnNQOEgEk9tqPL3gkIRzY6PdSdqbJ69Hho3z0/tGGPFwIJnP/pa/pEwEVwM2G
MEdQnHmvcd+VqPGkGcIn0TooPMSO/tRH+W1wwRfbUD9h/qIP4Tn2+zvglJiWVhvUXxCjnJN6Sy9r
KfAvrtMIB9MfaYvEhI89DzlwHb9/FsUNtAU4XlT+AMrjRL0NTgUIjTGi9D+zihuEJDgtgHCt2RJE
odDQ24TOAPRilVnFQLQOlKc3S4kWqWzAMpjaqMUhOpGLDMFI8cgCgaJ+OPnV+TYkmbeHk4zWcoiH
amHo3EoAoyFYGFrnjzIyzEHeGTgKcptAOHqLb5Fy5baCtwK9ILUnasKv1klTHg4/Mj7b0slynGMH
RNUGfgzjHyZ5T2XSlhPMmrO0LijLfvz+j5c1cQ9YFJjxMILh9dvUHjlZpAbqXk9N2jnkrEk76CNQ
tAw6A/hZsv74knq1/BpydajF+pIeDfIXCAsfzXEaZfPQiVA9RQlwVmc7ZthCXyAeYhfGpSlM7kCT
z0YOURPcFF4ERF99Nx/fxvGTA6+Hno30DDhO1tyP9vcvsbP2u1rxLtOnAlPE6jSr+qF6sAtl9+e2
GP4gJH08yQGlgt6kUuSjZ4KgwdEk93ElyNJWiC+yQyzqEXMWPS2glOrM6uPnso+WNN+ONDaC1QhB
sC845lF2kKjJLMta2g810lHhRvt34smJbkPGSTfLFbvDioZ3xR8BBRvm5eShx8VhzUPIrKWsSwmG
I4/u37cKhyzqCIurE/Us4YSCMRqrAr5yqstak6HLAOGAsFp6IkNfl4lBY/FpicoBD2cUHntRkkAW
JqxIhHI5VVkg2boTwyCOljuIkIl78fEgHI03Y4C1jWOyTl0sBH7rmHowwaPKR+torHK9M8cNrQow
V6rh5PzxpZyj+azfKcHLB3Dhsy3+xrlXTUtN1XLj+9Btflxr9CidFthP6K2JUE8Ieuu9l4B0GIV6
qnWV9OdPvRx1hcBQJoPruYGuZ3IWbIl0doWKrToxinw0lnPBUvXpYLVVofbogHJg2hZ1zPE4Q6OR
Y8nPxh/dIt1EMtDyZO0sobnwO9lU+oUvXs5VjB/d8eCtNAE1S9d4DS/VbzK3yFrUKoDPzHuH8aIL
yz9baKxI5m5Oz4N9L46pckC1tipFCeTjIQ3fv74gwJopACwOYMljL/xNDrvjCUDBtvG3UjrB57yH
67yzaY8e/CJsXWr8Ka7b7hSdzXiJxpvWxSywsovyUaIEi+VYONY0TTGFjoAkYlSXDt1DzPlVwPcU
Ml2noQRnGeU3Fa22b5q8CQW+RxRxTS/Hv5Je3JyleIpfsCOli5Y9lcXGELnzaaGPLE/jXuUeopKR
6SI37BWPxmJgsDvgJqfWIuqvXXYlxG0RYbwI5l5uhnbutvTEy8eUHj7SZzZdgrwdKOc1haKFN1jl
F1AT3hliB1oRb+lMC6ZbH9zb7M/PbdpY3iru/ZQSRiLE3s7r+l4FzviYOQ7+76FpuPXGoG73VIzQ
+kuj7e98Fz9OalPjAdvpfEebYG4Bp9JcXoNGhGw5upU8hbK3HVQE8TdM8/zTiM4MVfMYizekAJv7
JQd6SvppQDgFvr/GyufGHWbzqz0P4gusXgxsRm9cp5NfnRWByLZQZrI/qUS82zOYELSVCWYeqYKW
gzqG0zSUfwIg7PUL7wvZTBsZgK1fNgOGOb3pP/xh+v3DxQKAcnqbJ4c7zkjixSW166P6BZWjCozQ
ZN6D7bTFqqqKC+niib6ekqbCs9cBN/nxtX+b+T8eE6wOLRuC+PF5ZPRE1ICSr166uubgiloIjP/K
sQC+fXyhH9/0P9vwjyF1bRvgAcYjWnzlaJuY7KqwJViZFzzhWTOOzXaxajjwZIDcy+C2tqtYK4YY
ANlLL2rRqmmzco9hj4+O0QDsC7Cef9X7fXRaG13wwH4LNZ264oBzEsmLPdQVGqmD5d4gslN/r0bk
3+FkBTfSnu1PUc45Fc9kC1pRUiRXDqoZsK+Cyqd6U9CLs5CaOJh9NL/kTTLQShj7nZV45rMJC3W9
8P7+kAsdgfAYEp0GkAYxLqjz2McpgWUEYnIB1b+4ox78NHPSvdPk5WFapufaisonx4imzWgnND06
tIkOYHxhPXz8Zjw98u/eTKDBmhoPAvGebfwoQbKKuKJ9kAYvyUjjgHJaj+txCI9ng8HaMmykW02H
oBqmcZUZbUW3p6kODXWrC9n6clhBbDCuFitxD84yUzjrgQ9XGfX0dV8YF9lcB+ezM+9rp3LuqYGW
V43BS1v5NMbm9TJMtF3yRsTroI2CW9JG2eyUm32f/Ty7dAK0ERE58A5Z0rRXlTeU2phNjF/nMh0f
EMEpbowa8sLKnyy1c+wBbLUDpfpeYRaLWEqH0LFMJytaySGhBRDkXU4jhD3xzvWM8DxLZ/eTRVU7
hmFXeNMfpr0eu+OxdakuBGxS4GSP1Z5GSsK89yBGu9b1Lg308h/bzJlBane1eWkpjRj/+HVa74Gv
zKpAgzE54sDCAoJ3bCSEZG3ZV2ydr8hEuKeUzSAjxeNsnFGozHc0IgYiPcL7Ly3KWo9ZMg3nWRaZ
N4aMnN3H9/JDS+f945NqEj5tXPRA4h6DAXtVeSJMMGpOJhoMnNub+EvTL6ncdNWMML1pF1Q4qgb5
TnQ503mTp753SIHDbqiTRBEi3AZmNn0DAyAbSqlLv5TQa0OkF4WfiUPnONOlP6bIHGDs5a7QdrDV
SiAl8sNyrBqxxgybNVhzr90bDMsuLwbjAt6T9iRTgXH+QyBnRnGj3uRIq+4Sxe69biwoJBVtXjJK
B1E3TC7LGkiJyunh0vR89CRHU3IRcTfYU32SVqXTIyMLXIaZSLtojdGyuHairKblCqJuoqNJX2nw
yzJZI4HZXqg2wp+wyVofXG1oN9aJVhLp9yZ6mp+Gvsk+w7kZvrsZyl3Q4XMw/B+/nd/jDzMlAjQH
dM3n/RyHZMemE1pMqnjFqclEj0FF+VdQHjNdQ14ZZ6rgZRFjDN3G+DrLXCG/68v2T9S2f5qwqBCS
NjsgVyEVHpU7QEoJzEKD8jWGATZufrwQfxnT8jwr/QGFJhndd3097hBQibdtFE9Padhj6priUnr/
hzH5hwUburq2TOjQJoE2C/qXY9pSjUri8Jy/JoHp33W+JW7xxzA2AYXdM/bF8XIsu+G0RffupJwc
62KoAzayoBym6wzfCwDJtZLnmTE630HOd94qRLb67g93+f4MoNc4xDwHap4NZppD5dGQ4SEyV1Hn
jq9UvbvkgczCE2sqifNqRH780vZlQU9JLH64CXuv+Z4iCYsaCtaoau8EjXj0ojI5NwNVPNi9O9Ih
YRfY4fxXMtxJHqzdjnbv23z7D8/ifm4hzT6/VBnuJ2+0/F+p+IiM6Rf0vxMtPr2K4f88Zn2S1e9J
/D//5d8s/uAvGoU+68SCKQ+Qmy99I1wYoY2TvQ0lF8d41jGamP/NuHDNvziZ6igMURUMmS6l/826
hfsPgR9SLkdWSO/wNP4Fi5+64bvNjmI9NVtqDlTWLNKJ36qJyQykqc5R8EGucjxrwhqFdlTDxJkD
42yDi7HWpRmhCgrk/+aK3djMpmxTmpY6IJmCokscj8GuH6L+DosUcBxOiRo+nuL7NDIQAgcgg07O
5HW70a8GbKOL1DvBJS7od2M+xljYGq6CNxZ6pbdyCzJHGc1YtrckMKCvTvFkHCWCIgmUjCpMHqwa
ZZaVJGNZU4D7HCkqzAKYApJEYn7gHItyGUixXSYN4GR0V2/QaLJOaW6zbU+w1LfolJdyvRhxd+th
133OP7FaYG+B3LeNcZPFbQ7VcMrVAfBfc7EoEqRJOOanpe/lWY6gyX3czs5u7kV6jcm0360Au2kE
S10IpI/8DBG8HBt3sBCghNVc3SWp5+1sZ2rXueDXgdlZZ8huPzSY+GpTZ3kRujN8y3JYG0Cz6FM1
7F+A1Ye7AuGo67ixnJvYdUy2JB9rj11Db4sKGL2/Da7d0QrqDObzrUQWhwbPhnvGy1cM7tptcL5F
6iXAhtv5NBZFe8BtCZOT2d5Twb1KwoUOrD2bbrkJKB+vXU+5q7pMFvd8MBBrRyTM103uZUBCbzhg
cz48uAKps1WbLdbWkOBn3HymCduL2uN9eOP5EtqHITefMiTkNiPPsi3i4TGmeX4aqf5hLmYXWIVZ
f+GMPJ9aaRusKgBe2GbP28QavE2ZJ8mtcGsH/294AhdhXnWXZZ1WDHUJrGnVAl+6SkbhXxeOEW+M
NJBPcR/bN7Qn8y3ojel8XtpXpKKQ5kLSzd/GXZbohr84neDOINbnrOkuTeelX2DTYvkxfttGfGM5
w+cEJ1DaO0FxkvrQqM/UALX2ZqKd0D33SSK+AG8Zv2e0GW98oDBnOS3fuwI0MxWSejwHg9D560FW
DJlqq/5itM0viIiPl0Zro42lzFd2oi+BUmARK6/uTtAXRaQpc8wrqAmW2AAZCZ9CHI/ukWdq1rmM
y63fxeWI4/g4VgfTHb0cZ/emLkn9lfqS4oNubqwZocCtMDoBDTbvrRV29PbWQ3p1i6uGNG9ko8nA
Zmqet1rjC7bQHN/I1r5WnvW0iOjJ7Em+aCtue9AJLRD4DBMaN0i7fi8FM8ZMbP+TF4f3Sdy+mrge
zJrUgHE1+QpC+cjFX6WlixdPFAJtTX37kBBzbvmGZBU4Ir0UXXYGO02dAKpCLYO+XYp+WyKUfYG2
1pLsw3jqk/XYt08VB5fxth9mrNJNscuNMb6W9DzgcBcIs0Hd2giJV/toRnts49OTolhkd2Mvdlgd
xtiqIpS65vwMgb682GYCMRygkY13ITwn3gZOk5IBxv+fvTPbjdzYsvYT0QjO5GUnyZyVUmooqeqG
kFQlTsF55tP/H2VXd9k/+rh9b+DAOIYlpcQhIvbea31LDeqqwz5sc15QK8t5prDmlNstp0LYyh6p
WLzLHKjloaUhVg2h9rtiHreFkZLoM8nshc4o1s+0Hk9OYhNW1OWbNdkRhntr0MFvUvNK1lYWVFY2
bCxCcT1nyAxq1bw+ppnOiKDvq91AYewNah7djIM5cgVQJhLqJsyD2TnNzSQ65csY+XEvT73IIj+X
bUUGUlTC/+e0u02rkzVPL1o4WT4iIe2A/H4JTL7qJE1R3qhSr0nRM5Sp2dQ45Uj86nHnHDJrcFip
mvqqu43+6JgOYfcWwPWYs/3oMdaed6ESluTxyiz7ukB03xiTPZ6w8aUATYZvMnPQ/A19PG2oP5vt
SkSGwjRcIA7OH4TDDPxXhN6xGaGEs5Oq300hPK7Qqn3LRu2wia1C9UtN9Icwn9E8lWHDMbL/xsZC
AD0lxL5Y6pG3NCwVZnzVOKIqoVp9h1ysy4ATc3vG9uduh0h9iKjg99RP4pQIu/Kawkl30qaeihfy
fypCJJj3OqgdcGej9R32yM7FQcy26oVuFh+s0cBsRn10srpRgOBrMCxXQjv3MPBOU2En5A/Je+SU
dAIhruzWmsCh75Z89CgOSmiSjrHJK9beEQagTwupJsVGzenlR1nti0m/a9TSU8pJQx7GK3oTVxGU
e4HEOJNAhQn0cH1TS9QjQ5BwO/b1acrzOhDL1H5HAYa0EnoTqWeyOmNGxqndG/GhWdw3ByEXRVVD
CFTUB302vpFPDSIMFGfQ92w3agOqr2kj/Dxyld3Ce1PD+64t9Iuea6g++8G8Usjn20ZpL9Gc3vei
Va5jnN7hhHeO4WRqvI3yEtn5sp2szGVrTGi4QAdtra25tA3aJxfgjjn0nYcMdH4yMmKG0NqMxn3d
J5F1JC+JHKG5FVEZaOyczYZ0Zh0FhtBXZJ2B/kcEFvFtIohDCuAHUEKu8sKwa8IuQedv8ROT5hER
H4W94L1WpTQCu1PVeV+ZyYNpN2tTe0AbzUBPGqS0keLjlaaqb7CjpCXAvib/MZfqZG4EbdRbjfFO
7FdpszzrVT8954g5j3aXqqe+LtpdPSvjpxtmIul+Js9FWNnI0i8LrsEQd/s5F0ug0j3frwLC1zl1
kO6WfXocMH7hNtDs/N5Z+uSIcrb1GRUE+CrH7aw50fda65Vd243mXYs/AIVgjVit6VKADwXLK4ow
LlA20+KLRRR9MeawQtuYo+GpspZDB1TcfdIsxuCLxewRafbquGF3o0NfGpV+arBrxEGnNZXaIjju
XYhCaAARPLK3bZwZyi+QxJ40MsCxxxm9X8RAoB36g4jn/iTjTDkoaGQ4+IWiZ+yoG+6taipW50HT
q5NtZqKnLh2XFMVY7y2AA7X42oIrVP0pFenViZv6nkyssd24FGSU6a65a/GbbRs6W/sFGsewwRgx
iA3qbhsoZjN3zxJWvR+2rnpG+JpDFuLmvyx6Ymyt1tzpXdjXm2TpesLuCgB0NZFElOj6sEdKPQ4b
RDdRoE9KfjHoSa2YJLuWXs688WAkhngOQxpNUYU92IvoORL6MRvFwOPSCbRUXffC4r0EOhfpVLrq
m2FDyZ0xaeUb7mhYbySkUgI0mgxBRden86bpTc3rOovwRcOK89uC8aXqATLtg86MbypE1Vt3zLvz
2NvmwYLlCBETjMa1xULDLBui7M4orCZwuWlHB3Hx4MvCmL9PoRN/czlzP2mzZZ9CA8sSHZXBPrcQ
Ui0/jGAV3+TC1D1ttl+6XG+f5xACrhWZxlYqYF81CJeHBrRE47WY+76uqkBmEA4pQAkOT/YSzb2B
AzP/0JQw8ro6UV9ZT5NjMioqySiG9YKSu4XJ2MDG3CqgARy/E/AToy5vIKF2+n2vlpAlLfoNJbGU
AZmB7s6d8j4AoDAQFTOMl5mB9X0Ll3QttycvNaFWlFkVv85MmeqNVpbGVk1K0rMrtWoCHA6dl5fQ
/XTmSIECiXWrDfQ3EH1NZzjjywW5efWAacE2Pdbz9KPs1PYR7bZ8iVRYLtApUvcIBzM8JrYUR6ZF
xDfzvJ4Eks2rvnQjmBV4qBp5WIGCImCj2kYV0P1UOfsLC5Rr2APnxOrE0pwX29GqzF0qleIwCc7i
FQKrRxigOuGHTdChnL5NIjCSaZoPlxSF1IlFYvB5AXlZ7EHjwMLKp69J97FSV0GWp1YwG2peevBg
azgULe86HrMTDUcIn7kg78Ht5HucWeayt1EQBUndWx9DV47frXyKCZCT7nQzaNqkb8fGKH/vBv5b
//9N/U9wAZXy/17+/1dDMHfxZ9DC57f8BC0IMugNXjqmlAwLjBX+9EfdT539G6ObNVwXmZxL4f/f
db9OpMn6XfhNEFv83hL4WfdDWtBIruDHraZZWHf/oOxnSPXnsl9QTvN7EYWBNoxf768zpLy223bK
rJEIngo/DuP5EQ04BwDTKsWprAZHyzmighnvd5mW8yQ+d7QSVKbJVd4+arnRLc1mleZpgaQHVY0p
iBIyK52HBD8KCB9OsAXCSa+i8im2hj5C4AVnM4OUHUfkkcxrtXw4ND3CjaHdsJQX8JYLOafUfEPC
SNYlBPdshul0pKE8iEOaWPPNDHn4EUtpxUDJelHactiN5WBHniCnzjXT6pyu+vecaaa6MVliHmMr
AVqSANRdd8sV7k4j0g1GxAYjMJUFOJYlyYddMvjmotLo2TL/HG4SEaPg1eJ1OsEAHr63Swyf3BXT
IHd4GaTjm26ZHKw8qu2LiwSYjXQWgIcUBaSyVc3drmuyAezfqn+OcyPbV0yFt+nScGwBp88PpowA
YJ0P4XCrmWHxFeMXfgsLC82OyWXnx21LIyCqZg2CUTQv7FCA3lOzHl66xpi/hEuJxLqJ6mo6IPmc
kDE0Jn+owV6tvSD2rs/UdnLXamwthpoNAdzeWkXW35xHPOOcJQx7DATjeuKhspGtCT/XFzcl6JK5
DLRThGV1tyW6T5Cjy6PuK0j7xLW2skADNZOzF8uQnr85IZFKO+CF7DEKHLF8sGkbGE1JbK3BJNwa
8n1dhiScREPvbLVxHNk70xUeqQ1YcbWOYGNibSvTWwWXH3aYiNfFVIHVmLyN2xViFQi2xNecoA5t
6za5uevLqXogjCc+4YmRL9h6SaMW6BU8wI7dXg5xJHytsW/zfCZfSqMZ3eBirL0KRRkPjTqpQ8CM
qd7OQzQFqN3dW3pVFfSoBmtNbURH2P2TvSn1PMOxpJvVxqQI+y5SpTx0YaodOtJzfdRT4TfehgZl
AX6MN3zrAIHnthuyXdTV2iPhA/1hZP/capKR6sYtwvbBMYZ3gTvQH2YOtSEuqpzWy5wcmDXoJPtF
mFy9yHI4BFlIAuic0RawdI1ifEVUmvTSVd8cNFpFcIh0vw3rRxMT3aVG0fEmu5ymRh3NX2gL5Ptw
AYDkKYpwad0oC0Y/gjxu53IqLkTbpiDQypSaFhNs6JlttloAwvLJimq6GIpbHAo3iZ47AF8TWp5Q
3mdGpXk4+6hdCQHoSofn0A5pZJhGJq4YdaBcYodyt2VhMN9xTEw9p6qiWOzNrrpt1oKttYT8UajZ
TIXUlsQRk5Y6EPq3KcLunWx5wyc6cPTIL8bmypEQuZ72imr72ZQNez4o6Qk7gGY3mV8zH4sk0PA6
rnrrbmw5yvCxNBT7ufm3K/47hfZvd0WTyeV/2hUzHLKv7a+ddE7zfM9PCKX7GyBEC0Gda3DWZov7
723RNX6zVNgjloaAFp6Mi+zhJ4TS+g3n15pA5a6IIYJA/qcdrv/GBsZXA7wFUolX/Z/si0BP/rwv
IvPjf8iJ6IajOTP/OvzETqnxWJMuakrH8SDT4HosumG3hPF0lFFt7sGiYaMpibmnFm/ts5kZNVuK
qo73ZdkLhjmV8goIXdxk8Bzw74T6o8WLxYG8sgo/ag37EsuhvZ/TIXnERiZ3NLiTQ47S8VtJoi+0
ITs94nkOurmt3xCOpnvgQsQaIMyje9P21fIuKtI0kjCyEOBOmfaA9jU7uoUsTqGty12vtxt8E8VN
SR+Bzk2Y+0qax0d1aMdDkeQg53PSB31NiexjXve0kkI53ZaVI3eVdNwzZ/WB4GJr0q4Yi9wLBnBx
o86JuEEWQIjIUOr1lvmk3OH3il5UN3EvqpLdqZPV3xAd9LiIGU2ghUeTRFRXAZVY6R8M0WGs5zM4
RRW6iNcgqLxzsWVuyNrFFWuYE/HXrJQ7E5Ls95E9mlpYB4iQEJhM3k/2VBsp/fZJGumOCUG6d9uu
80djzH1hzyoaKa1/Lp0kvO36eLx2ZbK84zObX4qm169RBspEn9PmYunpdEV+SoiipiXbOoTKLiar
fsv1fvKBAtjbapDDzlYz/oxomhhNFHIPxJx4ezKRvyuuvqarwihwq5NWRAdj9Yn1CT7aTJSF35rh
DYFF+UFxlIPM7Mwn7BM0IryKXV0P5kfk0oho0y45dZYx7izhhgdCGvI79PILu5uSZkcE1qES6Mir
ThXm8S/RnLhf7drKA85C1TGsrPGhGsb60Q2N5GZBdnUztoJyum/05DnsjPac9kI+GHQCdjmaB3cz
4nDdm5O0QTJJXb8us53cRJEB5d+2pdwATETXQ94MG1lXO8zO9OFsYYe5c4nCPaKysUIvXQz53k9T
dQktS+7nqdfploFbzCsr+do7dvJSV0SQFoTUX3N8z/sJVPRFKIN+0kaz3Dd9Gd12Rtk+potODH3e
ykOu9IeqCOnzuYXpXLS60r4WCNJv6sjIDglyx31KgHhOhkgrt6MRm7eyGk9azLyCTJNmr4guQFXQ
vWIFgIk+0xhiJBLar7U+/jBrUlYj4hOYNCD+LxktbdHpOf5sF9oX3cje51GvIk+JDO2r7RSP5aBj
rG+rebeIQlxJxrPodRF7fTQV/BwcBh1xiQc0ad6oWPVrGzbpnU2HD68zwOr3hLp9Vwx8U7Qk8slJ
RA5uDOwGbauckQE3cdR1jo+9tHw8wvkDDfLujXH70BD2oj4ysTqwg1nHcqx3WGsw6Fk23P5EptmV
caO8N0O5t+axO1rhUhyMLC/9tqJF07NYfu1KNznYZh5uZ2D2PgPvaRMWU3pftQDWlqkuPT1DVrPE
M4khlZm94LWenmzUV9eK/A6PG4owookzzWekXt0pzbQdSUM61Q0mKc91t2aX5ruwHcUNviC5q+V1
CMPhRVnV4Zmlq9dURDopto4gG2Rkxl2IoXnXOzongD/9UUz2rlTHKRik2iscvnTnpbMhH2wqschk
M9pziQFwjm6Xtsx2ykRS4GaeTdtrhsmivY9WdxOFMyDuBVkGATRk4bju8AQlH4awJF2WA35Us8yh
itq4VSNOnH4ZHhShCFRVeUm1DD1zFHEaSqQLx9ECJ+HCR/KkkjwD2RQHKVoRcK6kQZFm5Zu0Yvzh
ZexezdyxDm1rwgVfMKFdk07JfNtmckT982oRHr5LKfXuRMvcc3VNi8tAQIPnhPmCrdmRVoDd0f3i
smtcFiOOnwHJJud8Gb4hrbf27IiLN6ftcGkjg7ACdCznNrUKr5sV95z3RnPXpWF9kzKN+qKEibxQ
G1QBWRfRVnVLunhaXAVmW+vPyEe1vUX2RdCETrlltqn9WOyoJ5PerV4NvV43l34xXpDEJE9Y5Qe5
ASoK1ih1o10PJQRDfjR6ihrGdyrzQyKeONIPUT09iJ5LX8Tm4s9zx/Rp0pyTA6g4RQFYxrdwzEYe
NA7kroJzhTvbY9iO9H5XJFO3giKqJ0l6dqJWaYCnf7nLBt0IqgEEyGamyZR6vVIYGzOatlZdDhd1
iLSji9jz21hrmT9qwNMH8HM3Ca/4qUUusWfgDaYgqxv3a2Yxbs2LUbxIxoN7VibAX53mz5pl3i19
qrxXhi2OVecoW2Aq7S38PHlgTBJuAem2VzmPzhPGpXCrilo8xEMi+Dg7pEs/K9ZWp2C4NHP9VrTL
/C6WnuUfyeIChmQyot2kj6q/oPjaaK1yIpOWlhYcpYRuFw5dYAUr1kgkrGiJuK7VA3t/mkaPvclB
hGTsWq5NQre71lEt9yWxx8lmqtZeJI12Wm126NQfLo3gwyBjjbnMqJwTjcQzp8jvCHDK9p3ZfzUb
E4px2QKkd+ACv2Wd9RXwz6sI+w+oBl+dcrov1IXaYBnR/up1fmgKew6ASzxqdVQdq9i2H4cq0wiz
Hot3CNTTMw7Sr85QWAqPegK+KztWmC9Ff6xqWpfdjoq6XqwbjlpFZG0I9iLjKYGQYwSrDeA8aabt
9+PUO3d1V88gp6xwnZ/oDjXbyI2DaqpBCRkWYjtKsetnTj27PK7KmwR4Ufm1YgHl7LUiZaYw29bg
Y/Kjo6zZbMCcfA552UmN5uLYN4n91ZzN+huSvii9C1GunmymW80js6k43Eka3zQIpnZc0DpEnZl+
d+KpVZ5MnOMmsOghpKmpJFmJlTbR/UIR8w4XcLEdrPYZCO6ISzeSvqD2h8hrPE+KNu6ZnNrenHck
VZXFtHWlzXGSBnvSGGdo+2CjhcLsPyN364tiAyTnLPJULLEMmJraR3YQ5YGAp+gM4Vj1gIzNF2rZ
+tJwN480LjddnIyvzFrmY+NaCp5mpd+pxcS0u1+PW8R59RvX1JtTkhzQCeEJnv2hDDtwLMDdIGTC
EQDrDq/IuOYLsVRprUSHxQC7QQxzeGxyLTl2IjpbjFc8YavVGfxy58+RXX/rdQtuwWTOu6Qeki18
ITdQItIeGnLBgjE0KoQKMZ3eDiqBB1TM2fe0VlC/a+TFMUj4MHoQO14FmI8Gr4uh7Tt5YYxfW9Ej
znrvDZuYy6ewNlZdL3apJJf/FnH/pyKO0dJ/VDZBhCl+vHfJe9/9Wsf9/m0/ZU3qb2uDEi4dGkD6
kms6yB/tTVtH8WSS0EkL01DRL9F6/KOOI5ZZoDjS6Pr8LNZ+yppQPFHCkc6rm9ReVIb/LEzgM0f4
f0SsfAjWSDIrNDD4TGXEX2XaJrMSl4Vm2JdFpEKCS3ivsOmj6uheZit7c5Cbb6py6YKin1wPeHG7
maY5OzpqVnmicx6dwSHcXQKYmXp5HhyDwZRicSxtdGIuFBbflObM3Bu0Qzh/0OHMhc9qqcMFrN1t
5SoUXlaPJdLVrhV4L59+IlgQw8kCtbanTaTymbw0g0fgBp/J/uIDi3wZpMsGkJSbuiqxzZrpm6VU
wpc5X56prIe0O5tDNTQvqhNX+BgHfZMyuwjy0P6CReg+1dW3oeHjMfu/yDL54BUCc16SiISX9qrG
9Fa1gr/HqqYuEE39YoEwBPhkF3R6+POKiOnqlBfCHxT70DTOISpwvIctl2Zww4CpDzahNPvAjTdt
LItLCReh9UXND5UDl8AAws6fwGUQziFP2tYPG76K6Q0ih8rgrBfileghYexTg4yAUrKAWrXFf82M
6+j0XbB+Z2oAzU7cHpS5th6kZy5BJfUuMDt1uUalvLqzHAJEDtwTnNSIEmp+/VEnm6XmF9LRXDAW
jZ6y1uXMCRfOZzX+mIu6RIXcaB56Do4Q2UwHDXHleygVlevgPuIW6wK9kGCbAAXSuwXcZXSOA+eG
3JiGgNvH0Akz0hCohrBtLtuK2Lr96HD19JYPHU37gBru8fMhIdKJOsOoW7+yeQ7UWb/mAwKZRriP
I5Wwp2X8gxHedSCfy4vSzDhQKbhbFdqGX0Y5w2i302jYrU9Rx9cyJrgkrUrXqySHBt1Wik7bmrhM
PFh01CFVmuaF5/kDUgWnDyYLGzkmbyBSufcL/0Zg18S5SSn8sXNAXwIpQVPBVWpViiLNrpYbUbeu
B4jh5fN+5xFJjAPHYq8b+XsBaLkrloJbX3Ow6C1HHoUaffCS81SzluMU4ul0bB6Vcn0X6CPOTzLm
X+GQvOkqvwhvHoepCu5dz+WiEf1IknAXjDXviW2P4XFEA34TU5JA6GxfbBjCkPS4w8gU0o3D2/h5
MQhiHKjB+NIqy99ysiyCUNj1EYqnGRA7Cm0ka8PjTDF5n7dp5aGoTTcjQSCeDghnCzpMC5oMAVXe
GFxSMfA7RHF7clpl2tFiAXZVhwlk9UULMpuXklLxnIyM6GlJ8JRBVMcsVWQ3jsaLqgsWAiKiJcfZ
SAaIjz6QjyXXITYvn6+XjrRnL9ReCyYUfH5P236DWABZAsATYkjd7BjFothNnGFWxBCvYYYe/vPe
IodfaRvF2SIHmSWER6BAy+XpI9fm8ylf7Ixw3Kpxd5QNWTBD9tnS3Zc+eK/K+3wA1iecV/yaGEux
02eWMXfg/TYWd9l/3uauZ6TeNTxG9Ja6YEjV8BWCrrI3Y/5U4BYcE3tV2YeuzuplJm8c3LgFavZB
/YujDiJ8QBJd4uV653paoYZHlGXF2U7EdDEnc+eM6RvQM4LL7LE4h5mWEWfIGwFUDc2VyXta0vk/
z8iDtrbFQ1bkenFWWpdPB3XH2pvTiGRxUBcK4skg5062nKgmfpg6Dp7R6pZnIyjxIe+0m1prm8No
4Zq0i4G41CQXBIMQhahAEycxTWVxG7l1n1iosNeuMcYQ+CnFvKs6FhPm5YNHsAje64FfAWIpbxHY
rX2OB2Cf2+TJfq5NmjtpwedLOyTWQC9BeeRnx3dmwyPRmMZVm9e0lVBxNib1OdvOyMNUTxWN8IT7
V0rh434pzpNlTJfezj4os7g0ZI0iTuISW66Z+VnOj+xV7iuCgSwgwrb1FcdkCVwLLIzj4Z3Gcd6H
SCHR09UfJPVu7LxPAW8yvogS1hNDkclWbZp3TIFmUMBj9sra/pKXRhlkSnynjP3FXr1zOgknxzmZ
yDRQJMl2JEygzsEDTSpCMSnA/Re5fMtMmSNu40RgBaiA0aXA1UvftLScUNWlLgklQns0o0z6uLqr
9GaO2h55geAW6iKMwg0yBpRKqWAAEJdJdxdHBsQIkKySVhx0IYZrM+KMgOFA0waUyxXqirpWiNjt
X5WuLL+TtfNuJKLsN5E+ZR9OrSsLc01lWYjkc6dx3xVNuXXzDBofqOGaZNy04Z1PjUHxI7YiX1Od
8AaW1qJspQ4z55JpmAMYfBhtvoeS1ikvQCoHLyY6R57D2NVR4ZAAann1nNXJxRyAAAcRCQvKfdFz
fIAU+Ddeh9Uk8JdzDa4kh9QzrAy0cdb+9S9WB+kq2mKUDTmCyUwVssQfScbmohfOI1xKpEbEEHpG
8rcQlD9bLD7PU6RD0KmhnF4hF39xArqzocEsq/q9On4udryDepJ9L0YcByDdP36ZGtz9/vf8muz2
/4nSbQzC2CWYBagus+q/fBopxIrB0Lbfy5kHZD0JuBmN0IjGm//5Sf/qG/5mkqNhHUCS8L+Pcm4z
+Yos9U8Khz++6Y8agIEN8X8cr3FDYgP6HNj8lDgIxjKCZ5ScQaHhDvpllrNKHCy2GYvu+p/mOLhj
mPtwy7X1+/7ZHGcdMf36nuAKp8Ig3oBwAk0FqrC+R7+8Jw07ZjFZan00OmXCmiy3XTx0W51UbUaT
RUyKtBtxiEfeu5gBSfC9QtYDpb/kiEwbYFKaao1hyd0k3BGRq9MtQFh/ciI3Se/Itmq+DZ+NhYWY
q1iN5Klb2w7u2oCoRZLkR21tSyCQxNiNs/WcfnYtirWBgQZo7WXM6i4iVwZA8drpyD+7HsNnB8QR
yKWbz7bI8Nkimdduib32TdLPFopuDUXhwc11ktehU+KXHtQ8/s6mzKJt1fbEDnamiEE6gMUQhodi
mHzjTT4mjj5eZGxYjr11arlUsG1b/lz6HY2Nw3LmxE3KsaU3U4CTDqjzsWBMBnGv1nBFmoTV2Hl4
cbQlJJ84lFxPZHgzBqzaC01XjKj9AewBhA5V8T6OkqZKkMWJiZI2K1oTzUgByjDzwJkvCijOHok/
XnzoGt7UuQaewthZaoOpdloZi4c6OWLvQxWgxZihYEaWS/qdjIC5NTMIaBF51ADvEgN4M9FFOy2b
wuaC71U5iLFo7kTqAEt2FX0zDga6szbG9gePaheZlfaAVhPdo94KlAtqMV5BoZpby63mV7tCMj7K
XrLpzLGf0DzbDk6enSmr9F3ZGvmhLDukMcXAeBy8okXdI/uDM0yeDSxsm+cFjngrjm5NjcgvToOT
T0Mx842OjTq1opIEOje8NjmZTmSFdNUmC0lZXJShupWp9QRiNLrqUd3ejainr3i8h69x7kx+5HKa
aqp4uvI8lMgWyuSLbKfwTmrl/MwRWQFH1ve0zWwt9Ec1WbUpWfglriadMYyl3CpTOHUboM0Ipu1G
PxNSRFBWqiSLT3ZcNn+paof481BaTzT+i4d2naRs8jCOJs+EFQ3lMG/sySvnZTkUDfYnUp8IkuxR
8BzGaWl20LKiL4Rg6yd3sRGWqMgfH0FUtag1qyZM4ZM28kMdDVSlur1QiUQ0JQKgiQu0CM28Q+9B
4TmapFTafpv2BiWlPtlnlSynaAN9EakSAo3hto8i7UQQU7knaKPfdOnMve7JXbjG0iq+cHAg3T20
q7dRi59VJhdex2D3yJ2mS1rRCJuRhN8ss5yuISbGY2FMDWc2fXnp9SXPkWxO2ntaMjhQloKZWV3r
9nGUE2evtPoxuHW4V03EgzFQZ+6gnT64mdO/gOKWzzOc52d97BKTs6OTPddKAVaTBOW9pXR4RumD
BK49dlvspKexTBG1g6rYgfOZbwtmYMdxal1I73OWVhu+V7lVU2yli7mA/mXIntyBqZ6Ok1JNjVdG
1HmDyjENkciEM6BTqCWUeg5KaC5kzo0UaWSnU1hJNK+K8CqzHY+lcEnkm03ti2Er+i2On6dkaR5S
LPjfJ7NEoSlcyOQbc2QqT+G0pI92kxqnXMzkUXdYPUANhr6dRAdOSfbNPDY1r0bfPkBUkr7ZiPLd
6umZV3RX7/TQXd7qsWzAvCgS/WxOLHaURsZTFBsm5zlC1ZkP1wCciBu/McAEf+2Qx0AtJrA8y4VH
/As+3XRqjmhaotcWtv8POWo9gKX6jB9lXDWok48dQX9B7JPgBCAUZENu23zWJipbgNxju+k6DWZB
ZsT4uetJ2Tblyq5whVNesxT7jld1KiB9aISXoU3wmUvESPgY8pHcdiRh0305GkTBZ9GoP8C3d94Y
sShwSZOecHroOC62uHiGARw653IozNfebMoT3YIGlHWnss71Qp/uIhW4EvO6mHpiNMQNzlEi6lW0
93bkom1GmzxC3UTtghksPpS5MySQ9VXnTG5FeWmTNuMRNUuvE9N7zZ53r47WfACV23r80IheQtge
zKxyd11tTGelW+UAjD3fOUSaH6VifKedrp1VG5ojlUg+b6RLSHuDgivBTXozIjG9cfUsO8eitFIa
Te+xIAMJpmfJvGF6KkXzQKefsRbeArjpQCigr8XbBIHFTiSLe63VpkS9q8Xk0bZju4+U+CKJFdni
YQ39pmjUZ0JKjF0amWLL+/6eUuLdU7KNkABk+RjRet6ocVMdxzTLQbGGprwxwX2gUiqGm7IQ0V4Z
pzkBTG11OyB45ZUnN/cL4Y53yVxih6CdT7BOpUqOPYbzJbIwFvIbgs+BdY0zoKIukpmZ3+UhGXKQ
qMsD0GcsBkzTfZwKyVlh+r2xiqLcdeQ3+EY/dV+1pol96ZT0RezsW9eqb2ldkUjO9ngexjyCT91C
mTWcGlkXE0x/yjHYzfrUfqg6McU9hq2HFPIW9nTCeMsIHbrhlBznGyV8SAa1vVjC7nbETNT8Fklz
O4BoUoN0YRa/MbTc8ZQmVg5jf2oSI2bwOL41GPm+1aQEYIp3su+5Y6PgRoyxYdn7FjvyR5Ml7dpd
sunpZ3Q7TP4f3HF3Q5aWtR+SDjMMY3afWAqAOkADz0ulpO9uSsxkJ2Nl15nY4w2oQ9e0I1FSa9Nk
W3Vpfeg5kNB3k+5eZ9q0tSdOXkxoTQSk8XCC+it5j6YKdqiK2UpQT3kTOOtAt9vivTNHtBiGfEz6
SPX6Obb246DXXmLCcR+rfWHkeA8qdH9Qbt5rUV0Z9nJ0SIoU++GyY4nGn6orL2qCo5oEkGSbZAsn
DDIhAhQZF7tqrrZoYf7Uu2UEMiBgJNGTLe4dpcuOablE26KpnE2NCInpZ8E8LY6P7SKjbWjIGz1X
lHuXFElGWz0Bz3PKhFXPr0pW3M1NEm+7nPnPUiqFZ8n56g69StplhvSyq6AkLVXhk8xJ4Q/vn2Gu
vrAI2/qt0k0adjnFfuwMLdkvaVh6KKp+1IR3BOjXCZ0GKI1DBuH5EGYx+4HeX0dNRWGQAwyyFR6/
EpSsNQ3F1VIGh814iTHI9iptwqo/THnj7tMiUqj8F+eYd/NVJuY3IiOe/q2lii7p5r+ppVBr/0dV
nP9Dvo6vzY9fpym/f8/PaQohy4aLe5eUAEYqnyOTn9MUk0ELtZLze877WjH9FMW5v9EG4OBPrhXj
Fn0dwfzUipPnzDKHZs4ySbzSCI7+B2Jxirk/F1Oo7kwoe87/Y+9MdmNHzm39Kgd3zgLJYBO8wJ0k
s1cqJaV6TQjtLYl9E+zJp78fVeXjXYVjH3vuiVEwoNzZkMGIf631LYAztJTh2fvLcTxNmC8bs6f2
kzNFL9iSi2rtVAL78kjfoz+6dd5uKzXdZiVsfj+LGFDrrsfTQIfd0XOLUpIzGy9BTBJiVRQpARbO
Cp9j62jLpDTBE4HJKwvb2wJaLFma7M3SatZBHvLbIsSFPAk93FDz6bCDtNx4HzDfvk9ahocjrpBz
lthIorJjBu/Se2MtjMT66Bh6yniVQanGpgfFlH0H4nV9NfKA42khsDuNdrIbeHMmBBqnOrhzHBzo
g2kvhRdaR2x1b4mrtJc4y5nlqYLQtWJLiYIbbqpF7KlkU90QzKN9Y2zuegJdtpbyISlf4KFl3jE3
4RFNsHA92UIjAli0pGjTrwqH1sDmqoXcDn1tY5Om3pqqpdlj5l+PevPOEaO+it32uoVpsupMBraG
fAj67tqgoIAzW3E/qNk4jQzUeHoRXzIl0SfirydqPk6WrF5IbNNDYbQjLajhG9uPw+KhWC3GLyJl
b8pmju6W5T3lRvMrnXf6uoIUtoag1pGrZUAOwdjnEnwYiaOwu3XY4zrLW6AsyealPTWKHcB6/Uak
mrbF7Uz9Z+NlT+TTrSdjFMyXFxVFhYHYQnocMZVxYoz0/KuZq1vdsWZqkrRjC5b4vaR35qHCRw9V
KWAbJapsMzBSv+VYtg/kLPEQt+pmgp39YqXywWnicleOtFBzsECnDlJ3M7OD2nvKkRv8+Y8ccDXF
yWF4DK0gPFp0FXLKDZfCaS/ofmo6iBLfVbq4a81MnPNYEVrjpDAi9ERq3mRRcS80Y9xAKeRRb5bi
0mQttmUZsGsWEXhw7hzOI328jgB2+nSlKG9XK4ElI6wMgyV3KgHm2XLVyt4pz6YxdleQDls6NWrN
fnQhTV9ZuaO/WXzwdUNNtp8Tm4+xdadluTVkHdRYOSf9ikoYuz2UeIrINSTt9KUV9qztZE1e9mvi
IHGdmTVQpRAuNdP0GLYNw1OMR4lx/5+F/l9Z6AFkSEia/3hodiiHPw3M/viDvw3M9N8YR7nLOOzb
wvzHEu85eKLNZdhJgNjFd8Ts9W+CuViMzwBQ4YZ4Dn/HHO2PNR7BHHKHRyU10O3vadq/s8YDc/vz
Gs+8DN4zzxMCS7qJeL48A34ZmOFUaXuyzfKoU611pVFjylHVTC8j6MKPvOjnwxC0FndPtjQbYdRK
zwIY7Ct5QsCIgdtot9RT0koeVVN/axHQfEpnM7CuVDyOP6M2TkJMl+hoflB0QvOphwu3HQvZJsCM
+jSxft+R+hf4f5GsgmOUyOyj7yf71KtOPkVjmVDyk9Uy504yzIkz4Zj7rRgOkWfFh97us00SCcWe
m+KaeBGMnA9pOMQLdPcQZtl8Tryxf6YQ0bowTO4oPu6r4KvlmH8D+PM6zboIWFIRJ6+0zqp3Foz+
eQxVTqyyib40uhQQiUMbOGc9upTX9V6+Hid4kQnetGt4JuRuPTI5Xy47xbuySFiLXWCm514zWXet
ynVWYSOJhQylsE5mlKT0zyQzmDO269H7XIXFPiN+s7H7IHpFJWbeImQud41rC1BPZEDuJyOKbkAp
HuwSC+0+HrJwF86ePNrMv3Y6aRhYxnnu3OcgIeLdTNGWi2UyMpEYsUbPqygtjHBdgAX5mAxaEP1J
wnrwcaR3V45Xtz75J3XsghS1qDGceYll4oZUgDTrGTyqnUwo8WwsJcla/GjboHe7S+/mJBWnqNyn
mt78iDj2tr6HZ6f0rdmp7lWGS9VwpUYD+8iX42XA5DSIDLTtBrhMZTgTnXSmkrZz2+1fMh4+DAeR
3K8M4joR4f1pRMGn9OFILjOgM4KjOMJ/Ud8U9JT5uIjUtBIOpwuLMytaaty0R/ypC2UuGsNb2VZf
zHqnbq8vqWUEM1F+DQhSFhIX/UIrxND2Z1ELB1kzkNlT0I3JoReF2szelAisyU7/XhGpAz0IrbOs
ChuTtqiBRwkltkZJOowsvEGbUtuEyZPS02Ds72aNXjFAhcA/251r9PFlQNW8zU1s79kHvy7nfvwF
NdU6K4Jykdac9JnGmPis4/YNzmGjvHVulObKsNr+dbAH5yCZkT2Gkn8joImBNqd7qxnDzUA1I2c0
A2v9PigM3HNlwMGTOxTXBp6yqbXSbZPjPtYSUfscjH08e4BcCxLm7E/LDWDlpUB8Kd8Bbc+uCdMB
zMAlliXydZYaVybNQdelbmCVLa0Lu9o9xl6bI6IV+JNeo89RkcJZRPG9LwbxfNWTWF8XsuYKtAql
nzW7nJx103Q84KEObuNkbo9mXsMoSSb3IEZvODF7i9eDytOdsrsO5GQ+qyunUd3RTLr8MhmFhexb
OvbOSYr2onnN3RxxY6ZkgOHcPhoay0DG8ZeHo7VOHJC4ZZw0D1pnZmeqml2/KTAtxKNt3CP5s2rJ
HDqI11jeitHdyKwJFl0yhNLvTYsGzC69FVbx5FlwBGDfki8vBb174QVTeMSk3Ej8ABqnnzAlohO6
yeS+nh1m2inAUy0phwcozNFa7yfv4JYky83M6XfSTMyLUyH6szwh1Vu1jWPbyjeO7S0zUavprm0v
1TeUT44nbOvgCSACv7g57lrcdfBMKo6obte6D65LgqEanGWqFjasKSCFWStjO9DwpY4lqMo0nG/0
lLs3LvBBzj1rY4qEsC8hN+87zUtOgwG7chM2eG1p2ep8+tVyf2hs5khxqs45OZUdm315ldbmO/5k
0GVhTPMJjmZqPlS7IcrJsFDwpdwNkAM2wcz2z6dgnm/bpBWvxrPtcXKNp6UeT/S4XHEBj/RqacUp
tqPmJkEf/uh17EzYV1FJWlPf6ARB14nldgjBMn9RpZS3iBsk6EN+/hcmE1vT7rSznY7FjUFUc730
qj0Aisu+mslqX11Al/cuG/c7vCrhZjKUvs0qq7vu5xaXkW41nD5SLd0QGMpYdKO4u48tUR6ZoYl3
0XBJC6EGXKuquJZG1RDIsY0bzN/wrFrVcVcN031o5HiRc82Iz23vtScSHf2JfE+w1yM78fukSddU
e7FkZuGN4TXJPg60+FZDU5GrtJeuH7Lmr0XSmuYqoAnxqGdVtM3TJD/HZhY8RsXMFBfiUPM2fRMG
UQvik0k0f9+YgcIBb4w/sJwyghLV/CB6YfpVkLj1KsviFgKPah5VOJgnbK/DiRa1hZHo6AnXm4ou
ttMZ92bYm6AEk2o9DRh2fGdqo+dKVc2tmJ3xNmrKRZRfVnue6ON7RNzhQUSLq6hz2CeT2ElJ1KDc
JFyVR7tu79puapKbsBZG277oyvGYKU8OXhH9ZdLCrNiXnB/jZ8sG2Nv6bel0PIlSXSY3c8kpaBl3
IC0YwGLwmIw5vrBx/pBtD9EpnQq/rmOWYEo2CazUNeGREGrFbtDzh2Ec1Y5Ia7jhIg0O/JQZiKci
uxMkc9d24R67UKvINpDG/8/++F/aH5uk1//Z/nj3Wdbhn3F5xu9/88cWWeq/LWMGiOy/y8a/4vLs
38hAWYBXXeebWYek+7dRyC86Mtti27XwwdhMNpd8378x+SBd/+ddMeF9hjG8GJtwi1Yrh3/o112x
Z5aFDEqZ7akZeR1SNNS2SUvwQPoL8fP7Gt92oXfqRebGC0FVY9u50xazyhFqldzMmjIPgrzbocm8
eVUYxKu9jpFgPekErzVFlqP36q8p6IE2RS6uJ9noJ+6K6o2RjH7RgCDv2Dl0a0EDoo/cy+KhFeTM
QvfCYEXeDjwoU9nmVxQVDLwajW1iUAoImEnIYbDqo97WvurzG7o6CGG3PM2SbDzUjTvf2U1gr0t3
cH1jGroHM/ZSlqAxOEQUEawszbgbZgGrpQ2fHSsnGoygu3PzLLpu9diAhMd70vUivsXJWm9sUlC3
gA1ge2dPHUb0ThAJnxRw2Nzt3+HSYAAV/bCucYf/iJmvXKWDNTORmal9zBSNy0SJQInVMJWKqfEH
Kxs3jCo+KEUUqAXImTGUtcXH+W5SyulTx3lMvDTfcnAf1sgGbHhb+nz5VWnRdItLrppt+81G1W6C
KaG7VVPjvhKoaqNbGhevMrOXtrerZwYh29wb7piV5JcUQAMAKgkMLZEMyf2gy645m4TDxpS97qtC
pS/dXMZ3KWvfQTS0HAhBO9SqCvv6HuNRcI+zxb4CfTS7Ky23Kc2gPBvLUBWf6zIbXhDTmw/Pdryn
MReUlSGZDRi2XHmKOFdsGmTCg+ro1HYHqgmKTIAtyMze3rdCVq9unJD6T9w+eyrSAttrFnk7GMLG
2Spm3eU5kJUphcBVfXKVKdfQRAy+PM+EiRB1bJQasyoYbgUBk7lSL45KmxnpKFngFIuzFICAUeZs
QfFVwc8X9OgObvLmmr0G2DuggYVYafCUmFl5L0VAJ1Yel/dEJY2zcMbyyhoS70RoMnmraGTC328g
EC7zeGObJ8Qk20X7muwe42ebAovqQphbiFn8fgMFI6IdEMhsGnzXtZLWOwOa7GmK4cnXnSsOHMU6
4D1APffh0qBdR/1IYyUNakTHF0yDrhsPfWkXR5xxbFhMwiNrCu+mWzPk0rSh1qV7u+n58GoKpwtZ
Xd7jwny60HNXXjWl7aS+mPgdyMPygszPIgXmIi42U59P67HNq9eI+28XA+lkK0y+YR1QPeSs3KjN
niqjiM8TZuiPWM09mEVRfVKDPN4GHTzs73eWBEklt2gEvHwGivoOFwiSG+EOWvuCSN5ZI9egpbX5
F7xDKJiABR+axBr80pkc5qfLB29FPl2mzm4fXQBhX1m24Ajs/vcGm3La6NRV75LBSt6+rzRmpPxr
c4g0sTKwlFzFIzolWa3yZqgWsHoUJh1EMpU9Wd5gPg+FFoP9zy33jgSRdSg50FyMkXBfXTP7M8OO
8ukKeOa266ziiAGXX83ESLlFXW8/WjeKSfzBaeQYPl2pwDAvAYaMy6Doy4q4ItGyPTt480zmsqSh
Ik7twcgLsRW6q92JdoQsjLR7+o4JYDtJeU8MytuVTODYcvNr4Z0o7+kdQoht0mX3YLS99MuEb25y
LftkqMYKsBszkF47IS/fDfS9udnIVT/zP7EEp8CJ3TdVGYNGms9NEZ17Btmd1jz0CjJIb5dvRSxB
jzoTwum12XY3+hDeRss+N6PrmR7SL3vwrmgRgoetMfQ23Qu00K3oox04qKewbpy1rY/y5OD6AA2I
3Qh/pFlNIK7Nory0PMc6dscl+Z3YcC5WlTw29DudHag+FF7KcO24lfANt7AQZaczJ7L1MEIYC8qj
KNzg1sDjdGOMZrKVJcy21SCdaOeUKR5pDyzohC2aAk9V7/ueWWwrUxWttdr4KBgw9Mr8VAXdaSqK
q6tkXioXzRyutWn/rI12X4Co4jEJNhJJ/YY4WPCqheYLbcY/gd0RfSyafIv3pSVXW/QbLQeGmCCa
0c1Xm71fOU553wnLwgKTzB95j4lgZs5ikzhCNRzvi6Srjp6b7tj2omDaMz9w7BjbUXUBJ7ApPaWO
8ehMaHKupw7pOOUHnf6n/cAivNZlV23GAoInWC4SaPNy6C1fFcQRWK+lfppS3T3WXPg75hYwD/vg
VTdy5eOjXiG/kkivLlUs3c/YRFWwBqW/uY5G5DtNH4BJJe/E/OinTfpmFQslfdJJzQosWXu0yFzT
2DnPrAeiz/YhSWaIMxK71YyV1AvuVd58RFMbAC2R03mM6qHaiBCFlX4Nk/kG1ZbdZu7N4lQazhmr
VHrHZUVA2AkMttuTtcHYUMBH6bRknxZptbYaoveNYVafjY1lGuP6YcpLDlxV9d4hvqyVpNk4MfoX
nYJHXy952numsncYnX4CHnpVkdjpkwoeB6NiXCIgUtpiSMFq2Np1bRG4mgr61LkNGWoX4QvNoI1f
NALJVpcnchnhhk2C/ADh0F9cOzYeU6bS7CFQqfzGcqbjQDcUyVAzkGAK++SRc0CKWmzlnw36wWeL
X/YIucVdQibBuuy1fsszfdiCFzvSrigQq1v97AZJeQcJArtTpNhZCc1eDVUtz1VfDW8FvcRvSKDi
7JAh9212WKsays864y5iJW/jzvWjwsaTlubSWwF3D0/9SKj6yDnJGFdAyEnyeBzcJAM+nVsifGqd
UbtxjBpThzBHxY9IVjeoQw6idOucXLu2uGIKjj+lwjy2suaBx+DYleeSDNLRImkNY9bOicmo4MlT
cXsZMAAlm5meMoyGXqGd21DaB3YK6c7QS8VoBXIO4kZpbaJ6/CrIIdwYtB89DnU87EldqmdHtSVl
DRTfM+WL/MEd8HpbFVK5O1MqzC4s73vtqJcsYJVhqn0ZQBWv4Af6STAF2xLJiLeVKRCp2Q+XwQTG
r2C4SR1Nv66DosbpXNY7hULvd0Ma+OwZrpm1bi1N24VmyOhPzq9JXZfVOqEIlJyDqlGUMITFHKi2
uaWDNqtTa0ct/fVIM8OuLjHCYMURWztr+ts5ZY+X9qBuS1CjNxwrs3uVNMNeIhm9ihZuBHnpz8Fl
FqA4bm49ani3XYYvRhOQNTjgxWvcgtzi1LCs6Py58AQtb6gr7QCwYZJpQOjgNht34zCG60bM95Mj
3PMYm4R5JPjPqTB2IAwIoRu4LPoy/KTFYidaHnk9baabPk46BlfjeFw8F4CrmuBACOUUh+piBba9
JmebHIAIj1dBImlLXifUFRsbIIsXL2V1Na7cjrhDv0kWrFC1SxlO4t5zEoWa1DUDlrVmwJ9I15AW
8kiAkIgf0tPDKfddYNXjYWT/O59stiqpn4R5am84NfeUu1ZmsrKpwkoYT/UdNTvgpTlBg+egpTVK
EfyslSOC0twvTsIxt+4A/PTbvPAYpVrdcB+4M2zKaQbnmdglcqxtXbf2/KKAKW7myrnEHoXBDOEQ
Hb3CXGdEt2+UW9k/mhFEamIW8w+jMdrrIXc1bD39Zx1CFR5sE2h131O0jXxxJHo8sPpFza03ZOZp
cB11CdmqbGgWEutJc98gBC+dxl3yPrTh5MdajamPaqpjrsUMxhO6cVPVYJXsY+ZvlYx4VEKUGFuy
77okkoVTYgVs5WoWbLSzLPlwTQZxlsqheRhUoJTWz4jIzzpoY+84hRhzN4mxbPrDqW5/6NbQfsD+
Y8g1FFC64TvuhRPbB8Jc93rfeTp5u37W1mnfpod5DnC4z7M1nay4BoiQ5fNzBgLruonynxxAQ9qv
Tbgpq6EldgZPoFzHRfRT5TlPfU3lH27vLGsWTbFbimL6bU1n8yvbF2djmmK8tDjhfPZAFxEn9g2J
oLBZGWiQR0aqwBomOM0jVRJPDoHtK9ApxWnOeomQOrV4mAqFGY9BZ/SjUGBUV0ESj9ucSTkWGW+J
8XE0LNkHZJ78kKHOwtGHtnHBWiOfiflVrxhXih9zVJKx7wNhaSz5LjbVDtPsQ8Gmf2MbswRz0Jbb
hoVxI435EE/EsiraT3hAz+k5Drvh1aBfkdyei3pvFxGJNjhSJQp0ySUUsilJSkk3VhF77QM2hToM
NmjZxSzQRHkOQtCljxlVYQ35giGzavqvqMnzvSvaeF8rbD+jVnymI9iHZgpcjo/NKa2xw1RhLS9O
rve3YdRWFzAF8zpFDCeVaGmwAqAi14GI14kngyNv7JGDHy5FD8MsHBx5yBwt/A8U6r/+pTyxIb4l
y3+siu5xv8Txr+6XP/7kj6GPYVu/ESohMCzox6Bd/e9hYsPRfzMth4IR7CffLpf/HvqY5m8ED2jN
sXW6kBaY1H9ro4b8jdQIWy1TLCbafzNMbP85c4PmC4bV4oRkUv6LBPtdofCLNMqcO5vR+Mx7aDAV
z5w5x8eMYRz9ZM5y71RZIXbjOKt/gmaANwgx98LmgvYkS6NMLYtxzuHQXmQzqvrWmgOmyNNAc4x9
9droOq/D5UgEVcPLfZvU5GnQxmxxKHEVbzuaqDYVAd2TqdFrxho9rGO6RHclzpLLnIh57wGuWEWI
Hp/FrGGxj6zBwuUdRzdjkQE+iZp2eMech69dRFPMnoqvzY/CnmNvndbzlhOwOtqTVv2AkJe80xc8
MZaeCE6zAXydasCxHlKRy6F4bj/7OjQ4v2QWeBrduAsj544TSByvKAY3H5epT/p7Sufn+H/Dz/J/
yAOJJdb099jT90/gkEngV9WJA1FB/uc5XI5CkeBpde7nWngHW3T2pjJHvLReOZJAEhhnAA+auXcL
Oc88QWnio1WOLAmepTqnx4gOICSS8uDNXX89B3Z0hvJVflAZpD0Xym4u0VJSZMdJcs2B2gCVsZzk
OVLLXYj3dNs1oryRsn7E82jv7Wo4AX4wH8zI3BFS/EgU7KhfRqP/w4f2/lLSSTPIkrQCViIZq1pk
sP78oSuaJEMcVJRelXnwaiy/fgiy8cUwrfFWo8j4QLtcfaAMluxmxO4R7aGdtw1PEzLro/6jSo1l
+GIP481iCjmiO9v3wcR/KWGan2ZVGlchsIqbiOH9ibDBeGvL4IlhjLnzYkYltLuTOUwzfR8XQ7GL
tFrbgWdx1miH7WbWc65p0er9lT6Lj8LpTkNtGvu2C+w9sjJmcysQ65gY8ma0SeXqTBm2dvyaVR5N
61Y5/CTBQGwRFf8nsQBxcKes3tcto/wgYkNa9d22jYfxwk2Znt1e42Zq0nifig8dk0xNHVntNOuU
9PuV5JEMEE3izY3jRq1KN2EkNhOnNmOmM25RjJex4Fda0QWcXOdYBU6TzMznCTfbp8zYRhAc56yO
uQan2zi7Bp3tTbP3xiq+oq1Xv8bQPd7KwuivbXYqLUd2ktYbFc3JfqqJQ/vAM8yLFrfjTYMKexLm
MvSaJblwe7k3tXQm9z00z1YE182j0O5kWbXn60zK/pcu2b+sWRAPYHlhbxPCEIQEv7Nevw6ukXEC
/AuudolA6Ny1HmWXGlTNp2kc5Lp2wRJQBsO1U5fzz8GUs9+0oK5oTpmij6Qqx3PlmMFRtbp6dpUF
RinK9J3CUTZ6S0S6c/JHsHEkWPvazniYY/TK+O1PJbb3ld6GM0RreJqcTs3LqHM+WNFxueAStOna
WkLELFfTtkf1WRbUMuWMjuV+Y7caijMTdV5z7Mczqez57vuyrRJSzjEWgetakQw2KkxPZSb1F6nl
zbOXGM1zoc2KVHyMty+vIirIOGnFPwodFbmsCRgRN+8obu46Z2fB2Hc3qYzkjdQVo7J/fut+4yX+
vl4tXz9+TEkjFTjDRYlYbu1fHhmDIgIbznVwMesKj2NruMZqqpV2j3WbT2AkJqds1WgPyRRTamaP
lVddj3URjTuJc4GjOfcgQ6FMBUeZ9tV72jv1tPLYEuHoMurglbEVH2aZ+R5U3Gnbf/8DWMvjFVcS
z2VzwRf/+gGKOW1qI0JlyBzMiWNijGdF9GaryAqRRShYZwI1sF6YDksM+CdtQ+a/gimk21dkEIIv
7j1YCDjp3wnuGCDkRvKwZtUFW5XJ4CFzFVGBqAg5kf7z9/7XSqPly7eABRgGc1PPtP763pkgLzz8
wb6UnW2DtGia4IurOUCTb+qMPvp4vk7GZrzJIBbv2lzyCcyiwFdRxf2RjAUJb2aSh8weakisSnto
nRya+WBhzqtVV9zMsolPHD/G2yH3MrA25Bq+sCUyU/Fi60cTDNDz51n2HGnm8bazhrTYuYStiBzb
NBYsA8+264JnMzKSPYRAeaQSHGwBVuBt1ghCfFk0vtZOMe/qoQ/Ye0f1hgBSIX3E4fGTflfWKyjM
eA6byjQ2CL7Qusr0h8H8vImwraxEWlWHzGLiVbjc6uwJxtvvWy/wtPCjDrQIGHDK/9kxPzvOY21e
OD4xKs8TkuaMjaIPvWrmbQK35JUrr/8EUresIMtXk7gBCZxivrb0ma/PguHLHK3WV5OZpw96Zc4E
FOB54FVIfooyh50URuMhHcwGyZbBoGZxTIxGxhk2A9kz/mKeJf/8QmCTyFX6p9sQbzR7BvigGCbY
Dv5l28BaDVEh7dWFU3kLjknnBlt9r82YQBiJBIpaSbwHMf6iKNyyFaveHbOdkYFYkzZh3pAWJIEW
ZUl2VDEjOiqw9Dj1ey2Jc7hxxbZVTK5W3En6j4mexkeW//YHnp7+s4tdS1vDvMmJsEWyBOHGduy6
L1p7Q+XgxHVAwVGGGTcLsm1mgLlaefT77CUnpzXtRe5htPJH5u2G4F02NKNoZrzD3KrdMQmZhnXT
6d2HsnmscH0tjYtgTUZjbnYWdy20+HjZci6/azXE7XMzonpoKaLKaMbzxhPTs1FhrBAlfDLeT5SD
o+SGwPfMxZqYjeVjPXR/CtfK1zUFAEdsLvp+9rJJY+QwE6NgbFReE3S1PB/uYPTEcyB+ajSaSVZz
NQhctHGePDdIDKgcqXLCfcS+Bd61YDVYNVEVfWiea1y0flg2OPVYHnWJvVprcme92M3oD4sggqC/
AFAg18qSl5UNX1Qz1Px30HbcBrjb5sCXTmNRWAa04SGktecQ6BZPndlIxI9IBDFeEcOp0itsWMv2
x5vuwjYutc3MLOYHPjXW1Vblcr2oXbqvFfiqQ3tIjxMXAuN/WNlXmoXBzbcNIV6Mco4l11M33yUF
VmJ6A5LxUrO33MPE9uAxN/P8ZTqpPMhu1kiS5SksAga7cL/qedgAlIBfCPWBtp2aky1mYK7CWLHL
XI1hvW4BPXCQrQJ9HYs5+3Ld4cLROYt9m21rsBpSQIPZkOZn181pIcvdAd8FZdOrxpvmu+8b6T8h
+Yf/pQSQFYWswz8+2d6XXRv9l/+OZBv/uQxA/P6nf5xwXfkbdUi66ziOvpxvsRH8Yf6VAr8CmLVf
EvGcG9vo//0fYf9m6pyG0TJoRSbnwfb/b/kOOFqMy2w4yc53q6D177gcqL3/8zKJfGPrts4zEzMx
G8a/wh262EyLOolZPMhuDxsvSsUAq58Gjwii/9YpTKvz8YzJO4+LkYQBnYjnAaF3DXZQsp8UnfGQ
BLF4JkI73ZaOWdz3AP3ePMsYb6tZMMhxh9neV7Xgoe/xHV3FHHbXboqL12ctcPI1GlbCKZZYvzjJ
jIxgapQc7WCaiCMdPZnaKADkM/bgaTD8lIzhSMcPndFNTkoEcWiytqnWWDc8UsfbNCIEQsVSr210
pYljjbCBCObYBSVtIjKjQz/iW+7xIl6bWh0gi5kcQLpciOPAZO3gjbFebBjL9q96zptas11pP/lX
Fp+RBUoIUwDCCHlm2lB44WzaeCQ8DmNAiQu59ZbnB000dCAzvHRh+BJ5iPnB9zbgpVunoOMLU2gc
fMyYr3AuGpwLqlnjXB7wzp4tTF7PYCtTBsyc+xCXo5uhC4qHqpHlTdvU/USKZQxtkogmNNoA9wjs
rZzHiK8bMH5Xc1TJuzHlfSmn4ouE4YMbVBcU76ysZHTv2AZVb0aIly7ISqZ2BLfpkw88l1Zdek3K
rStpaLMJYmPjrG5SQ3m3doM15JQwLdk3fH/bvlQeDXoxz4IoGk4RuZjtGPU5RzG7wBFgKHlH6Xx8
TlJ6z7xJ4gUxOKjlQW08BLSYs7Ph1wFGYx3Gzi1v0lr12v1s5RMmm8Q4khgdfJWlnUXnk2k34Lfz
ls9sILAWsfoxzLl6hSZsPlf6ZAnfmxUKuh3azYeh5UwB24g+GTlM3t1YhRFWaMu7N+mavhvFjGfW
G4nBU1Yg3mhOa5oVV55trttIG97lnKIFYaU8VZVwkSQmnQjJSKvFPnBhQR26bjIBIAaddjIDHmH+
QM/TRiD1FtGqEV7SHiI7tQeeHhTZYf63SdHib72tpGaIlVE7ziNcR+s6Ip1K5RveTlKqkoKqmSy0
Uc9iFxL8oO1SY6zK3lLji6j3E2A1+apoVVxprQd4IaoQAPh9lt4jTnWdGjbSlXIb1sZsdvuAww9W
aHymwGyVmuJns1oETGgcNmdeLp8XwJjaPdHtBhJZcO3mOXHNvm2eI5Wf4Q6FJ55fsfczsbUER54p
wARpxzDX3WLtmpn+aAuduOUM3Jso07wJajJPOlmxVUtd9UHN4fAUkzxeawxgr5sEM0VTtZekM0Ar
ZJWJbSKBvbNKuYaeHLA/zp7bW3soQhEQ7GT8RGWAgEal471k+GVSHJeOwC1asyFvVfAe9sA30YP6
zuzWtA6QYJB6coCsa68nr7iUszy1i6yTLAKPJ8vxOCyijzsCBrQWIUiV427QLO0D/8NGAYv1VTDv
RmkgHy1C0lS17hkSwj1w13DN7Gcn28R+AqFEBWLXdSus5fgoUKfYHyBTLYIVvKpoHS54+H6Rs+Qi
bAUFNKLELq70RfXC8XymRyl4VXU67NHWsnts5vImWfSyaVHOrEVDMxY1TS262rAobJYzn2Mlp122
qG/RosNNiyI3avwVZQop9pBFsEuR7soAqYBWyZsZYa9dFD5QGpxLvlW/Rf9LvpXARRN0FnUwbsof
3qIXUt4iN/G3hrioicWiKxIhUHuE0din6lE7Jov+OGVUInZu+FbGiC+hgQqQLnql6dGFl7Vl/Uzd
8bDXF10TAzDd0M6AtIje2dVOtpuWyVxbDzh2DDN4E6lNVd8YYKtyEisHOkWDzaFzyiHdi9yyrwpF
JNDzanZLFeCPHftO6yhpdPVHTXPvugonVIzfef1dA9PipuaqcGaX9qlFhu2/JVnqnVuyvN86LYqt
+P/sndl23Ea2bX/l/gA0EOjjNXtmkkw2EkXyBYOiJfRdoMfX3xlp+5SaKvv4PNeL7DGkJJhoAjv2
nmstPbvl3RvfoqTAy5dUVtCUKcmeaz8vdqLHkTtMrGBXtB14wkLbth5D8zMqbGMLc4eCfCyXW2xM
oKWaUR0Kuwjubf7iptVTZeLUn/zLoFnomXOkp8/qMohGRc5Q2tXzaTg2RtWRnlrnlwF2dhlms4da
kDQw4Xb1rHvQU29bN1mWIiYMAA0FhFNFl9Kn+XxEpZ5vVI3yvDF646mrzRZ3EWD3TdJjtWDa6sHT
o/VJD9ntNCs3QceZ7nNuA4bw5sT2bBKxc7AswuGG1jGuqE7Tr7Ye4FNrYyoW28WyxvKAKb/SA//y
MvtPNQbgaSCgivuBSSKQwKRxgVo2wXUTWq+GJDJVMwX02RFkas6gBTgoNXnAM5WtLU0jDJpLWDSh
ECkH/+T0NQRdCDTDsGiagVBLXPuS+XkGpd90mnnwffXWFAAng21egWhmW6UJiSj0B1JQYTmQyKaH
4YJSWJqqWDRfkbcE4mSauSiBL8qoK3HehsfQwPm8on8GpjFekI2W6EaiEOE4aoCOPo0/kmxAKUV9
kWjkY9T0hy/SZeOGJtYIUi+umQuOTY+R/bqjsBO6UCT4BL5ZgCWG5WEOo1mTWFMnleZPlFAP/SC+
hYApZD002GX7L2Uu8BTV9MqkORaJPfY1Bto00+zmpYqgXRawF5wHQ9bOugaZh4kJogFtguZk7KG+
cjU5k4LQJJqlybnnGcfB1wjVyr2lmZvaTPcKMOhYgeM4mssRmtDJQXV6zex0mt7p7L56pLuKIvQC
94Sa88GXbsBvo+qQTUEBwUIQAgwYRPDKs9CkkNm49tnW9FABRtSAE1lgRYXmixJNGtWaOao1fdSD
IfnFCHAhfmsvgFKvWSVBXvMhgGFftU7tkH0Ww5BquomKxX+ghUgiaj6mO1MTUJZmoRRQlOKiV7na
J9h7EKHgoGCFn0o1STXHk7Wh/waoCGY1Zcy/MYTu9+yQgbB8zWP1sY7cBdFihMu3g9lyNL1Fqi6y
FYCuLmUTTrHZiPJMNFxE01Se6KV/c5Po0JCVtYoN8xyO7Vl72OdxR8ejRSVUF68qR7e7tNPHse3v
atHht1LeUK0Bn+k40bwjC2qe4fdR2EZ4v/OY470EvebaCDlgVoHaSo23eQXsMOHEKyL/8Dc0smK5
I8c0O/134/e/AtkdkmT+auN3Vf6WvP244xO/f+ZPkN35oMWZ9EYYQv4g9wyCD1T8Uno2Bsl/ZLz9
seVzxAfflT7aeN8lIA6957+2fP4Hn7/QH0OCf9kN/gOw3XF+nC0xS9KmaPw06dqWF1jE5vzQ3+0t
CvklnoyrkDJ4Yzd5/uamjAxwsDEttEJgaQPxVTODgV6XtllEc9+LVXHD6ulMayFK1D1mMvzm96I4
L3Cbr9JMETtHMosY1/cG6kjsxiFRlvK1cNlcAdlbZ8gm4sTTQdk3UMoMHlC3AFOgGfegaYNHDKjy
BzVh7WQObwXFH9PLOHvqAONeqiwZjPUykLu6z8x6ekOMXUyULAbNNMOOAMQnWdoTMymCOAhcbjKk
iBm6PFsVOCPNvNTANsjXytg7wfHlsr/RwLuN2D1cHOyKrMDZ5lVANjaDxhRpd5Da+0bSHtTZH/G1
DXQdbG1CU+C6y5wQcWRD1XvNZPilYtRy27ezue7tvD1hWzC+B8VQvtA3dvM13gDzKRmz5n6u0+iN
yaFFoo9VrRikQAJT3nrU4hARwXiLJVZ159oILIE5cSug7Tj6+5yS5Dawi+neyW0sh5GxzG11RW+o
j0il6ddD2TMUc+b9aCX+HfirZO23i3cEaQIReYF20RU1AQhp90iwVku6S9tuGfrYpIPhjrNiRlUe
3S7yNylWvKdgGlHOLC0+esOCnmtlRtjmISpr/OvAJDB4rYw5f6I07x97B7t3SvpxWfXZIJ4TPwuf
O4Ncunp0my3Rf8b1uEAzMX/zVhUvYjb+vM+WSPSf82yum7UrC3U9hqo50VUYCDaQS4qxqs7VaHMn
Pg9OmW/rRrKHL0fZlCQ5+8NNbkxEnWO1nb01F9ynnagWcDnlbWSROvtKagwO9mPYNFg+NXaEyYQs
xYFGcvIQ15n92YqK5F5qX60V81j1KICudn0TOydhEZULMl/FB8PuYHRmymqrG5oDOX3DQ0Rextoj
a/DFKCOFMrWQX0c1+mrnUe+SaoR7arJFjyEfZOphjdF2UUXqSGR7d7GTlNQslK4lJcOSvTv4pUnt
iU3j2cS+VTKGXjcF/UyuYwax2cZ3Pj2Sm1bMiP5oosutIBsGW/6SVD6PAIQNt2v1MbAbE8FVhzWx
0fD3ooqcm2Zw+mqL42N9m5KVmrT4bPGUP0+lSHVWSkRiF6eH9A4THpeYC/5TIRXuutUkhzn1HtpK
TmZ+XRJ8WjL8RPSAW/CobQCHxQwf5nGw52PsxumhGb07EaTZpnb8BWUE2VdoG+XjxNhg2Lb4qb+E
IeJBkYcEZPu9I9t1VlvVmkh497FH3kz0RyJQg2ELAciZmLcOYU94GvLmd5rUXeFZCJGMp8UWjV22
DWxqcMXz8hC2E0B+Auj8aQpHu7j2+s4kl0dXLXLj1EtvUuO0zIiIIqcLgyFDYxzGXj05OXlRRhZI
bJoUsnJbDUfMB72bqq4VOkRicPIpX9hwFPM9EkSL6XveYHzuRghy2/x+VFTXFCPT2smwRAptSTQ5
sMjG9iTueW2yEk18i5P4qsfAlyFpcj2kRwoPfpJtNPveD5utTKwXL4yxeEjZX6XWqte9HIAIbKY9
Y1xPIO1PsWM7V2GrqrXgtOzw+2/Piem8yL6ONkh2iGMeB+MGaXl4iPRqPffm51LgMYjTLhd5/k21
w4miO1+HnXlKEwuln6DRtDPb+NNk6+ovrZ4CHz1uEdTvUK75FpzywWSGC1+XP0W2OntjihNmUz6D
SE4UIicsac1dYVaPQ2KT0jT5VNAmiYbmmA0bq8xROPdTHRz8GFwPFTkeaEPboFaJvRsih9ujstsT
kTZkQcpg2Fv24GxEi7MuVle+Cb2VxUdcuJyEr1cvL3hWtjdyGkmEBj20uI1OHlf72owUrnVGXz6Y
hBztDeyq9LyXu2multsZ+8GQ+4c2XpC49X0zz/LBXghy3kRJl9/jaM9OWKrf/Co2j1kSidNSSNKB
2zEo8MybiDSlzGaTGnD7fYTCIGZYuNWmmVxruyRtsYm8aL7NJxoA8yDUpyWL+rXhOi3EcXLv4jzM
I5HFa0Yq7W2hsmKtyFd9pEUQ3iOCdFZOzwTbrcwZLG44yRBXTfaC8Vs+hW9xazb3Vu2Pd9Ykp1Oi
WvvBS2T52I+VtkPwji0ZUbCD3DqpYX6mYdesXIM/4nQKCSTgN7Uy/32cSKBDi+uvF6RaO7geuetH
P//mtWF5y4Ci7Rdwjs5hQKX61rlljTGuSSvzyT+Li+YByVG+aXxKTtuvbIz0rZq85zZ+d/KcZ0tW
LabyWf/ATZgTgWLm2CSELuYMnr9NvKXdCGHe+YDhm85KAREW277LA1tujH6uz+4oXt1BeduGULnH
QmtG3c63PneV0+zaEb987ow4Q3ExmGSyO35JypWlmJjY3l7UKjkZgyePbjvOKBiS6crreEXi0ehd
Gfg1i9/5pP8OSP5mQEK/2oEM+M8Dkpu3tn17j/v2a9e13xOAf3zyj2rZkx+IvMFjiomG7WPeS+H7
pwHWxQLFdl2L6GEoKJsZ7p/lsvWB+aP9e8SHrr7/NSGhkrawTEF8hUeWFI7p/aMJyU/zkQCAXwcv
8xxzMPMyP/mO5mBS6hlZbdQH7Dm/xVUk90bADC4JzPFvRtZaT/rdwJovIXwtiKXM8GxaOXpS892R
CHwvnWUSHMlaxlVh1q81ExIw4rj/XaP8H5G6f3ckjoEVv+Nbv0KNUWeEC8FR9YGeYM8swzy3A+02
r1mevrvg/wZj+zcHAqC0SLXmcCbH+vErDcQXyUot9WFus29Znn1j3P4t5b//l8O4OnKGK/7LNeqI
ZWtjOJpDaCBqo42HyDEmpCibkv/DqeNelWTMSKZyQuDX8/1FimqzcKqYbzSE1KuTicAF/j64VmX6
N19K/6SfbofAg96yuE7i9/3g90fCPQZvQsn0LNYqUJz3H4gEfqLt8VQP5Bj89RnUW75fDoaxvOeT
LSrhXX/8WgYvMZ7NqsY+SwclAJgc0oB2UWUkb2ag6ToHokfMYffPb0WdCOTSCEK5Tc7rjwf2VIUt
R1zWB0ZpiMVwz8JMwsiejJT/++vvqG+2X76ji+MrCnITl5KfnOyWPu3nhBr4YJAPcyj6et6CYoWP
f32Uf3fLE/j8P0f5GTsJJJECPXmVuGm4J0tNT0MxlsdS/d9O3XdH+unUMf+PcZflSHHezxt0Tm8Y
UObrv3+8hD4zP5w5PZXFpQrzdu0+8rOhOrB/CFrfkijnpREVRVutOtrW69F2npvEN9gf1ZRUaWzt
XEXeA/uP49+cVfPX8woTG2CFiIAb6tn/6Q7FzcYNiooo63ograE2B8aazGWmu8u8kEIJ3Z5UYtfg
DnAwoUnwxqEYthvUqQNzQW89Vj5ihomCTFXl+I5CFQFOSm+CrowW72ffZsy7rqIFyLP223CFCzxI
qCWrZlXV/JM5Ru1sgjGtew8O2J+a4p6i2Pqc+Rae8tSWr0MBYjMWE551/pKtqrmU+zHlkcr8yYuI
iKc1ghn6FGxQmDpXXReXW0wBym1n+eVjZ6TO0ZTL+N6EvGgEVvPHwRMcJXWq0xi0BGEw640r7GJy
8wtzVWTDVESwQdJ5K0K+NAoWEpXgvc+RhRSRGQgj0YGhQboSfU7ET4Pqag87i9egGU7bFIMt9KC1
QQQR346JarMqUqp3vyOjF7V9hjIY7TM2OmAA/iTw0q+rDlMhYR+dAhl0qpbqJFCLb4KiSfaBLAxk
tqb1OYoH9zRFIn2Ngip/8sYs2cO41C9k2FoE1PKDVj5axJe6cMiF9MIBCXHsYwJIjTyz3BCEwqTH
wHfniQIczBc06B5UpnsNOTWnOG3qs9en34geIq499azP4HvfyPILHxHfVlejXp3BeBnM4I+e7VRu
AhW5UubxHRm600M6MXrmpdLRcy2S/RCR5UIlwkw/Z2JwTCIbOsrBQeQ2ArE749xefvMMKW5FBWDM
5MRl1GWMJCpdnryc0J0j22F0/FjIbklE5GvSRocNjud1AUP5MVgsvlJEojI5n0iZCgyxNwDpKQ5L
3VAt62rRg7GktMz6htlTLRm6EKsah7UhtxYRzsGaERVSbs8s1bWBGudzgBfgR3SwxTfLj4Gosmje
Et+LZs4MmoOTCvlU8XB/tMuK+8dVpgvJ6GAxuEL3PVS7fkLHgPCA7B5pcQloRGf4GFmM2FZGRNS0
mWJV0DaKx04Tf2sMi+V2YZ+273juyXzPxzp+6kojGvb48qZvCMiNHW2W4cbDaYGekRywwiW06GFU
cnhe1JLt3brvSPI1FAnMaW27y3ZJ6f2vVBvhLerhOv9lkXX7m7XwbGGljSABtWT7afC7+iVKmQZe
gPFiqvhlFSENR890kplxWWIwB+VKuDE5oQ2JLMeLa4GaCDbLVPrNCmJJUpBnH/lFGIZEqPoNJoTj
Ji68+DbKsEHqo1zucSsYV5hws3W1WVjjAFdSN0bcSwezzzaY6sdfyxocAlNTGqZejIrPEf1z3c7D
njk5eJqEk9wuY1AeRyf51oZa52h0TL9EvmeC+LXrFYRhixS6sQ5dNXzp0Wgci9IjxIyE5xNvY//+
4togSn4tU+TDzUCE0zbKeM6doAsRY/jZZ2bjy8mUCMEWBi7RMtXduhgzrI2yJE3oiebc1KyKaEjy
Gv+8PpVnm7p21xg89Vmfkw+JI97KbpnIAu+CaowknzM1Yd/r8L2tIn2j1woyPaYuu9FWzzg7cVtF
TG8JjrCPtG05Ggvqay9DQiNzJmUDFs1bt4WpWRVBI89d2Y/vraHAiKOWNSd2suBeeBCxjkkT2mWh
VIr1AwBAMypwgthszxuQC2zYXbsP7uFG1LUYex3ppou9XqpmnxOeRdMyZRGzUEl6I4fGGVMdkhYr
Oot49vfYLXFxIzmAzqzJHWyS+pXkZ7tG5RZDK3IR4FzaRpf2FaNclJzcTGMTExJRCDIzfc5OEsoR
DWYvtpdVd4yTly4LxFeT9g8TSO4R11zEbYYK8TZ1gRQGJtyscRQzK8Po3FtsznctjtXrodIBdDid
7dH4IsRfvOoTybDyvPi4i9LGUmteuOO65wrToDMVdhe8DQhijTTtWJbHcOmL+7Zn7TEiVo9R8tBn
AynQg6z6nZ26DfNkTDbs0DK/SNF3p8GgEZ1V/TkgQ/vQekhjUlJl9wVhKDedSs52YhPgnKbteZ7i
7iZMl8+JaY+faXYEmwBbur2zCBcIFIK0BA8518BTd3lGKjnD4cSOCRsMGYl1ySee5yc1YM6OHJDA
vwjVPb4f9dnBiSbntUg8rud8wQ4Ozt3npZcBnl4ZSZw/NSUrrypZccwiEB8TE9p/vXBJ698XWc8B
PVq4BiBK9rjKPAzdeG+jHSXHoT8UluuofRnLlSXimqTUVhLVNuc5i1nKPrPhFkllsRaRmV2VjGEl
aIYPxZ6pQm3moYE3yWsbwBdJTGeu3HDEwL0urE8to8vj2NjFkcGfWa+roG+O9Pr7DUOQ2co3YTNV
vneaR2sqcMw0c8X6B5sZPjQWBj0bk8RtulHJUMS42Ut7oHFWhENwdIYeH29m3YjkmIRL1ROai5QT
/7I0xviWzPCvNcPIlUgigKzAJ/4KqIkoLLtxMYhrLwFZmNXM5POpDiNlz0c7nTo9OmD4g3Tb1bFy
cCzvxVCw9rSvQWZmaLen/HFMbRIjauExI6G+d0Ar/Hk4lgSNb5La/OIE/aEmmJipPY09BvbxzsKr
ccPCMdzjRWvcCLs00k3nM40xcDze85xa5P6loNGY2DD2baB4pyZ8yyCitj4NnK1lYnQPXS+eGbkT
dsY7GoIlIpGrdKzeWEtGHLc8rtF7lPuih5BjJJv7hHWmuWFcJZNrBjsfRBt7AY/l24moTtiwOeNq
dGTubmq+8CHrR2C0AK+Z/V9Xo/YvxaguiIUFvclgjtbFT8VoPUEPB06fHeKicI50MotvFXp1VLfd
2JrA4Q6lFYMHThvu2d0tdnvsnhjTn7GHsSB0ijdeXOURtgHq2GKr0yZ1WaxzDF1OjpXIa5hMhfsF
0boMHEAcL7qqKOQZtCd2SlsHf8hH2zGdNwBSsEzJH3vQMv9+DgXLbThP+RNZROnrZQ0syUMI1uOi
rQ3/+lxoq/GfNwdII/V8knGiRl9/3MHBOiM1b8380FBMbDx02Tdd1NOIDxQ108UIBmt+KCtrocbK
pKpOLH7uqbMLZoVC/t2++ZfpJjJBqEqoexpG9B5+6jn4iClZD/h9VCGeenM+oXLEYsZnppv3D+HM
K/+vz4C+2D/vjkx26o6DhS9tp5/Gqa0zuAWUX34YGDKdyxDvElGiZStJmtLceHX118cT/+7uMxkW
ow2Utm0HP21kS0Wx56DMY3FtcGtixUSAThwGLg3cWJ1RSeAW7jWc5ce7yyuYWDvh7WMLk7JY5AbW
GLn7drHWmQg1+Js74pd9tsRHPbBIfOIJ4bz8dD46DP68OhHJAX+GZO8aUXWqnfHvnsFfOhYchUaF
hZsDEwD/50eQsJUh9MoqOXgOlasXsWqUtdetG4sZ9MrL0BaS0pDcxqRwPf/1BbB+3Q/ryb7u/0gh
dJzZj7c8vJ0zqHyMDxCqUXjIMdS9NphqvRY9dWlLuvt8loYrn0pnfiKlu/mGpHfcdvOAm2ZXoUnX
i50iPCrvA5tIXYJIHUaoaJQieZ1WZfsbjklhd6Vlr9HvHZf/9qv/pl+te2hcyP/crz6heO/fs/n7
VvUfH/oT7BAfeMLJoJLA4j+Q/PKDi7e3g5Ou9ANaxdwRf6L88oNwLEnvxKS/ZtFB/hfX4X1A3cx9
DPCB2F1/6h9wHeKX5w7BtUennDUB+ad1uWu/6x/bBL2qYMHqfuDWidlD8zIYRbTs7JHcgaTx5XGg
aUBczlXdOLwqMWiQ+KkM3UH5BTuWRjR7JpOYcXx3Gu9+Xwp/SHS0+I4/LpEWX453sml5eN+ZPy8J
U+vObsYQ4MrHb686S8aN54Aijt/BCN2M1gReXsIxoLxAD7uIWbhRD+26QLUZ/haUpbhvhRs0alvP
fuF/xto/up3jZuzW6GnFSxFDeqst8dPLDm9bI9jkLr29MyPloDU2jtcZwQH+FZrSzMou3pAB5mQT
jqx+pj7F8xDhRGogpqaIyJuHIGzZEDl+S8UDFCGPuAEKDY+k24n43CboY2hBOQb2Hetq/0lWNXSu
aohBRRGYA9KAvX4pkIthIWNXYGuOqtM1gmfwwiBjjrgbQivOjx3GYdkOrztEUylOWfdYeuBlEY2k
0YRPbFuNPWlo6khpIfZ9b7fviRmrsyxcEuXS9iSi6lhXXvvRL5PpTshp3vstpT6M6EA2GNmmib9A
kJDr5N02jj1fl1G8M7AQAPPpRfVgOPLFtFMoMtjfarNkefyMWrL2V2bvjjes3cb90rMjRoQ2t9sx
GabryF8eTTbIZzWzOZoWWfqrdvREtAsyw/miWkYJsibVanJdzGB7+HDvwQyy+oE0EBv8Pyju3IFs
OGBOJbIbXIJb+1MaKTAbNOvnBQgb32iLVl4+fpxBDtCY2uXV5BGDk+dFuav9Ls7WMPSUtziCa3Gk
OEx2WG998v5W6C2a7WTW9A2WblxDI3r3nPXmFHgZzDPNqSMpb/IohReQ32jm0SYszfwZEXL7sfLx
kW5GplXoTIz6sWmT5dYurenaHkz/t8iPvZ0Tds0WcgcHBWvoqNoGtbWSCrEB593ZLYhjmxXzlfgt
47ZHCKumdcedBv4XjQ+mP4y3aFeHkzu2/TZ30No4DZHRHTFz+GwmNl+os1FvFwo2abFWERFD3NI4
Z4W7EcffeU1MoveM2AcOdcqNVRjIfuvKUbxZURqvi3Sev2q7tpsG/8BNME3q4NQOKFeHIfhLa82Y
OoSM4q+swUvVphrtOV4vHRmQ+6Gy4HQAC9tgZTWFzzYVJBxPdWRzG5LaUeEwJjY+ulNLjUeUcIdc
RomTrN3KxY4N5n/wF7DXQuTxdYTl9GmKR86e04fL2hm0tfwQ7/LZckl2DkLnvRid0cN5clQfFxK5
rmUuJadvabIb9hchylYZrq0g0U9XHDTOKsqdcNjrmjqHx8G40y/NxN37WeVdZZ36JONx+eIPy0Sw
c+tcSdwDV4jHseyvhVFBz/vjCw5KgVphszCbqyJaSp3XpDK5jsZynMlUUv5rGfqy37iNwi2wIiJn
uIV1QqoiME9eFaRFsGEauri4ntkQWis5D8NVFXmVu8H3meiAFCf5s4uDvsKSJ7LOYEzjvacQIWCc
h22lBmfzM+4G9R4VPo2CEXsq4uhaUQ+bGgvxW4/l4FTEEpS0D/PiKezKBiMfu6sQJ1n2DSrsBjZV
wz5AweY50QSQX1lGvhF94mxMTQh5F1hIaW5oWFx1Q8RJfJdYY/ap1nxRoEmjaO6LTVGPmGBfQCS3
zbL3lDkhfuEXVAmve++uTebceK7tCJhp0lyTdUGc/AvuFNXKUztHU1CIV5rjXIjxJQpi2DdNSwnN
TeFEvlkMz6D7o6kq8wJYdZq1iiUerP6Igaprk/K5oj0X3zOTsD5XdGYf/HkqxKGlPLpzHKdGuzV3
Wb6m39m+Vih72ZhiJObirYvlExvp7C1uZIMnlZjYjcDhgSZiwIsEyA4ABzKMrfFI0WyZO7QcjvSh
4RvrO6iWEY+7xvfaVxq9HCKSJk091uZdOtvplcqsadtopo21YbpKNec2aOJtIJ2LJFHNwWUQHqvZ
rDTjoo095QWWoyHjX4sLQufPlsbpWsg6EBYgu6Fr+lOHn8DlsqEJj8lYVIQSwhKurUH4W8aZ76kN
DDIGDlnhzWQ/wUjVV2nt+3fSjgVHLd6tRkN/SI3sM8GQ12nI0r+4+TUbohAOEAMUH/8kzzWw5xMF
8UvoULZ17aS3s1v5e6cyaj6wTNYZaT4IG5Gx462rwUTL6q1NEc8wSYo/mH4br6nGGRWGVifHbZwc
LXoM7uiSxD1oBDKjgN6oAmmNrku+5BqV5C51SQK8EJTOhaZkphJft9WAEQKvU3WyAw1nunZMK0S0
i+9s+9mYHWYqStq7GelHtZmW3nzy0q4rkbeBeToX4hOpD/RnhA1HiAmlpkK7CyEaxP5IXnyg8a0L
Q9oP4KSJBksp4bhc8ZvhpMPZQDP8MJveIzGy7j69kKm2o4DYSjT1N+2FXQUfsc5hVoJgdXH1OmvI
tWOms4H/5HphcQoFa9hp+Wq7NMgMDclaGpfF1xEWy9cQbdC04rplOeMp0pBtdOFtqbtgb+mXwOH6
vpW9sdl8aQ2Bf+jMHmRNx6g+kmhr+CueOoPkCtjVeI1XHlaERtUUD2NsdrdVms73jicSgLvBtDde
K0BgVU5Dni7LQyRHXtZu4N7EbhUD6fKIXSdMB9wNAA/YDm1qQnndwoGu0/B5iErpHa6t+RLIhiEf
yb3yCLoz6gLTtdS2SNluzmLpnJUa1XIVpPT8QYB675pQvMVZ1UneW8iTFh1En6bDdSMWEhdH1pF0
rUrHwyBJpuqzlfqzcT/YTuHse1762KVUcBAm90C4lVXuHYdU8SZwEJI0h6zhfG4m4IiQV6tD/VXl
dvA4TcLZVI1vtOgcZ+8UqIyFlrD2eh9UXp7eqHjOJgRNfgEKGUxPCrOmB1BN/7XB529fecwu6Zln
xrsjQuMY0KQqmVqpqVgbiN5srJYWXhmNj24gKWpxh89LXBxxj5BnPHHrb7JkDLHOzci8qoM0NxnX
DAaKwB4H0gmu1O5OXjBb5Kpciuz/buv+ZltHy0nQAvrP27rbr+P/O35V7dcfNnZ/fOyPjZ1vYxpG
9Lh0HB1mbvu0XP5kkNwPGEjYAWjOJWiPv/kTQRIfbE/4EBMUWj4sEhuyP0XamJDx40yTvzHZ8NCd
+Ac7O8QBP+2fCOGj4UO7AdDJxw7tp46PRVRZge+VOkhsu+x1qexuO0dYb54YDjJkNVHOPkZYupPp
m8T9FYV2dx/XxlDsM3wQM2w3hrwgBUQmax9TxlWoMUOrngj3ABJNSKxsTQqo0mY+0jCwnIyRQZiI
7Q094fDjZJXus1cOb7nAS4Ef9XFoQvex0w49LTsiHBTSdV7WmC7wlIUs4AJXMqXNqPrRwYclSAPx
0Ho0Zbq6M59lJoiTY5RrPZTlmB2RNHfbi/mKV/PB0fONLZZw0y1dUmhBQ4iHkMkpESOG/NZaCiyW
OoXO1YBu6wqrWUZtDoKeN3sQeFONrfZjaqkv9YnKFpqsyo+/cP2TtQG9YK5GMagrF/uzYB8IJvzr
tOivlix11r7d88GW0tyCW61xVPYKWcjPQ7o00brUrkN+0S03Xo2Jg2tJOGhCKSCpWnUF+MHRRTAS
1JlicdQmnVyPSWX3q7iTyl2xdlnZasSm9KDSgJqLIavxwsbOfURRWvBu7m1xrTDyNfejK/KnOctJ
BhiiXjwTvcLoOJtMfhq24NM5qHPj2xKPcj3ZWAWhfsNRA6+52xqCY3/5/Vr9W3Fna50qf15ZecfF
KAt0dL7nl4j+FOZQaJkHxhnsnRl9Gds2mLttuQx4bPhdYl1HgUCRu8KtPRuv8dKJ40OYi2w5eG2n
7F3s+gz2bXwdmbCEi4GOAEunxamuBuVQF3fpxckLWVht4Jm0Q+QXmLyKSf/reUM8k0hMAisvJ5LW
dUAxwSoJ7W3XfST5J39Shp0/xrWanxv2lNdBacuP6TIEu5htlYcyv7ExSO+jU9g48ed0phmYI8Y/
GTUXO/BSrDeyjok3av9hjVkYwaqL1ZZ7FxBxxaaQ6EhPsnObUrDiheJ/Hzio43Lq62+jh3sBsrSi
qFbEgk9gwhYp3DuZmh0eBTlWmWjwclwSsD0Aw3DsgSuM/hcDsm0XZe1DWGD5lCy4LOPPk2xQXoY3
hVfgcjpEYwDhIQVYQmw/0QjM9kS8GxUjLSp+fOaTIthnwmwfAV+f3S7vrwsXlDuY5nTNoIo0mBR7
kQWL4vymiEIgZzK7vF1CD2gN91eve3odxygMHAq2PlBsrPPqDrEZc0PD9nbjPLMRTxxBFkopV8h7
I7xpPOew+F63hShZjrHT6HLZGu31mLv2p4k2FsXBHDB9xX1tNU7M6gnQ4cGwMDpdM+zKdmU3TFur
6pwcz0Nmnf3YGntsTNubHlnNecL791TijnDX4au4HeKh4x/6rdljtI6L/Qoy2bnOMVHucTo3/WeM
WZObUIjofcZilCZedaVmLv1Sg+uX5IXQRRIV+yeSurxybfKZt4XyH64FP8XyEFVF89hIs0634yDi
bR/jVKP7OsunCYUk3AFo/mDXCnajrp4Mz533VuMzIbZnA32jAvoztiWDA/YdeedsrBgTWVQHLvpP
FgrBmGs0N4PnzacxrKv7eFpwJeP721dOiNf8VV1UfrvxFmQifcj+3Jg90tiyMchwTi9dXBrNpu/X
SwwtsfbLWq0p2OKPTPHMZT3lCn2sKtLT0GH9uB5oBqzM1PIY63s1+kI5TPvYjEpmggVNfXofKpmt
qyps/FuiOI2PWUbXZIW746Ij7VMMhcq8q/GQXdSdCrLs6JcAhdhALPeWhxgJpWMfvlxWlibrwm9y
KrIj1jvtxhILBjmXpwjfAfdxAvB+UiPWOQjJWVZBsyjk/Zk3jKq8cj/hg6bH7pbD4zBaD8LVByKL
ddqUZEfbSMmz5WY0x4F+1GjI8pa3/XzbYv02b6oK97G2x2dKBZiG/Ldc+l+pG2Gt7b8ql66rHpu8
n/WNv3/qzzZ48CGg04woyP49fZKR4B/VknRwp/G1PQ2UrG3x7vyfcsm2P9D4tUxmQ572ZtOWl3+U
SxY/EKQWzBrelT65FP+oXPqpES70TAbhpXC1ktIn/PDH8Uwyq7HH+5wXPHV+sElTQzyYRLpiWY1/
QNWkQYe7EqZdreGHH3HwVDjplyEC+iSkFMGgzGfqfF2Z3MG8pga9BecBCmhvfgzQgW/8uOYdVZm8
3QXSirMosXhMFSrJKY4I0MCRdFtrKzm2BiGJeQ52NURDDBvwVqXRAzViPWf8f/bOrDlOZNvCv4iO
ZErgteZBpVny8EJIbot5TiDh198P3T4nbPU5dvR9vi+OcIRdFJCVw95rfWs+cGyTD33Z698gID+0
JHkCCxUXbChqAW9pU//8BFJqW9T16/pIZQ7gDJkFe0o8wdpSarkvvvcPQ+Q/Vfh/3p++Xw81OVtg
AamVOICfr2cZptBRltVH9Fzo9qL8lRoRdvGQZ/DrK33YCS9X8hDHe3BgXTox9oc7m4GVovWWOYmk
lMotTrsU3lyScMF8PQxW7ixQifD+1xf90HB9vyigJLbxDCafXf3Pt5cKC9MYxTpYFBwfV8ayee5I
UnU3vXbZW/3zq0GMksjZfQdB9oeHGQX+mJRFmh9NMbrZpWyLeaclCaM3CDgff32tj9Le5dYgQHER
z2bDg4/551vTWZTHRSaSYxPrnFTGmNbHpmnQEfkQZFYxnvmbnu7H1QhL7zDnqO8QP7H0//p7/P0J
u3TtkYALGmjwGz+81tzsvKnoKbA1PbLmDXUR1suIk0cga9aVX1/s72PIFeZSPPTZCBPt9eE01dJX
sFUrWZfNeb6r/LYDQMUvuMYQGh+nLiFh0SuhWPzmuv/pJj3UIvQVJB1E8WFeyqJ0TCJZp4vuiAVv
4G2Odr8cFpI+/WfXWpDVwgmWtiOv1xQfVRAO+ClziIPkmND+wJ82edmq5hxwjgjUePr18/ww375f
CzXMgsf2hON+bMWnhaKkS6nrOE/zaG6gzhSnHC3ZX06r/2pb+dhFXO4JDxdpyEwyDFfr57Hay7xr
ZaUT8H5EdlH8ofy6cqaSwMSBzUicJAWGVbyvyQp7S0r2ShHFl1/f64exs9wrp3AmOlMS1yw+jh1q
2VmyQDmO4QAKqDaJ0FlFsxFdQntCGRb5VP+lPf1mPn9/hD9qTLgsB39uHMUxa+gCB/jRDDJEkmJY
6CXH2A/tT20qixNUuem6Tst439o1wTToPjTA00lH3hoG6TQcR1nqP02ZN8DJCRY7EZOEJ1QYxSlM
Qv6YU+N/YYH/9Q39p+/JwYmtAUIY6Jvyw08rc+1wnD3DOACWla/gLJx2PTQ5Vekwl6M8oBSjt4hS
0/MoWo7ZRQzWRGwdWRDHPqucc6CC8IgN3r4ODNl5OznEVUo+XuD9TkDy91HrC54m2CiXHYn8+FVF
wEGiy8fkWASCCkkW+Tqj1Nup7a9HzIdfPSMGHAyvjKKtz58f18bEsHgoRpeQH84GG+0kp/gyq9xz
DgLn4dfX+jidv19sqUi9U0/94GOhaPI7twNTxnROcWgT+eGwIUe0X2O+zoh1XQDCepzOZq+9L0ZR
IsOsXLX/3Zdwl1/iz8PVt/F7LZIwXvS7Oe/H4ZrjJ7D4ZYQHrx/b6ejlFpOpCrRdH6O+nu84fopX
d0FBJ0m/UDzrGDtJkmStT7kFijARJ+EpoDBxq4gv7lddk3IqanLVJ2DKivmSxxS7Yri593Nuh28D
LuVnf8rnCzHh1IWCppUPXgN22II+cx5awYTbFRxB3D6TDzKuxUHhrL6KkegQEFcnxqMBpvBuisKl
vkJ/7qZohXrJw0m8wp0LL51R01MIdBm+UYlx61NZNETfIrsKD1ASnI7OckzNxPYgoJERnDliharb
eUExbn4roQs+jbZdNwCuBiTOHeTUt3xQDopihe2asksaX4ADFMQJMbWY7ZCgBmfyrrrIfaMR71t4
5Nk2Ur0WPuabJIj6nYilsx8dwWYId0b3p+/11rZMG+8L2jByMsC2Mt749UfZLqsCLo+j3bjzrY65
U3S992XGwr3RCHAv3vJ/O/oCcDFc29k2yQj01kty4zGo7OnCOoM+t5nGm/fHG0rY81YZi7vabmII
sUjP4yOUU5T1lijiSxYFRb9t4O/TmH+frXoTOZ6amaF8UxtfcTIwIiuhOVTmuUlBKKl5dpPrk9fT
ChE/Ojg0PvWtQLNmRaK8tTN8MsQB8zmor+OLVLje8ZEnr60IRkS0yMWjfQCnFnqay6IAbsF+8ssB
WzjkpeJUAGZ/zaPCAoJUOS905QCr8aNBkR4mBbGYI33BtcpafSuGRt8kkzPEG2qyyddcKqam5cRr
TsLJt/YyDouxCk9+T1z0eop9RYlHm2xgzKKad0QmMZbeq4XROOUhVdcF7626ARa8a6CzmQv2OX3c
QV9PuQGa5ulI9aZjgG2x49cv8RgJpCk+o5f4Gw3hKNbVAUqRvsbNbTxKoroXMoczXSIjT0+Zn2+D
mb6mbh19gx2s2akUcUQ0zhVC4RAcnFG14G/jhCS1tjyjNVmC5fIE5WYnFi3vfOobIQ/UyMPHSHnb
Cp3rSyPL7ILDATpR6Ho3uAz2mFCIpCEtbC+S1P7iwwtZ1U5BDv1EvHtG8o8w9EyP1rLWpgQ2F+iq
WDttmYOomxzrOUiGmyQqp1NqBrs4Jkd97PGvIG+iGGCAgSBJKVhB90pPeea365g6BgptwmKsJdoP
a9OXFonOBYDHTauVvyKQSG8GxJ80lCwSqJrkSYayIE2pts454nf8QO66VuWIDJXkr2wm6iGehdwE
NbS9JIjvQZi+BrX1UvdGt00JtNtMkrhxixbdkerl52axyCP1r/P1pH1Wtb62vhY2th/bNyl/oDeU
SL2RZz4OQ3iuSi/6rABib2Nn0qc4L5iAnWWPVFjTtUxse8GfNXdmkncnY3CzzTzLq8xrJp8MVnxY
wD+WSSTqvhMpj40W41FPcNIQNqspstOTWTkop0Mj8q56N+cLVTn+Ytrj1vzkzo6902Me9miIreCs
TLO5YaPkxJtRLjojD2Q12PLoiQ7v+DBVLvuHqqv9aEUY0nTJvNnehoX0dk6m/D8B/rVEVUl9jJug
4KLsoi9tJO59dxzvPaqJgE77frusP9iHqnqI10ndFLedoofq8UvL8fEgoVtZWRWu24m9SEYhkRBT
2a2l8BKmohJgpoOzduVFgYfunKNPz/jbFGzzdsEsaA0SelWv29oqbjqhnr18bjYmuqRrp5l9kkEB
+CBGh22e7pCAEcBed5Qk08y9Fb3udtLro08qjcaz3euNSsLxlI69gGnij8FXGzQ8RhNqUxSMmSeP
ZdDGJ9K/oZhY+O8O84BvdJWyd+CIkBt3+dR622JqP5ewQHaiUMMX4jD9N0U3YgJ4YFqPVuF6n/Q4
B/Me55UBj2Okelr17MdK3RzqeQ6utdHIuzZH2EMVvV4bqvEOnKADAihMS6HO79vvteX723pMJ5IZ
bDidjrgEYTvmhDmYV7TdS7YwpQdJJA/u8rABHxbaoc3hP40dyhQwVw1yt9amyoMTLzV40G4Pti4O
iW8sjcH5pmfR3XlQe466KbuNXzXWxpcMAZmWMFnCyN2PnpHvJAHcW9g2Dvl/XXUbKUi4RWimxzBt
rAWun2zsYlg3Q2juBzw9J+p6F0n5YE013LqNmhwQbuPZV0EU0SSqZ3JJ3MbcFP5YYeUBbJfPnf/S
k5q3ZqJp1kOHJmrtg5Ok/xG6/j4eSlwk5YiShiDB6LkU2r7uBXBcMYds+8njlKsaFjmZrZlROaCW
MKDlWel9cTNJEadqojMp7j7eu9DJj5MRTN8Vx/ErZY/9nXIM7a9w/KFApEzMmk4kars0ct1rTuxL
xJvncQAwqxP9MAjleC4vY1rkt7V01Y3faX2wmy4msyLwD4WmBooDzFihy/TPVaPDS9qX/t6JhuJ1
ifOS2wxS4icncpudpGPxFrhFAqvTQ8EGyoRaUpq3z15Xfy346G3bVKgtAtoYaC5AIr4IFByQeIzO
OEb1EiLnm6BBG0IQN3iN+rMZYgwRFeJFt0+2WWF9o9QKS7WvSWGl90nqZxRNF9RO1atnlgN5ACni
kIA1kH71vJ/cKdygU1K3phi617TNmLPBkUO7C4M2i3CDOl6TuU9K9KXXfZMOZ8WVcEodv8UGFB+V
dHnMD1uVHJOU8dbIuLxot7auk9Htn4woHF6dNvG/RNi56E+Bi6IBImYfnYA7FbmH/7wsyoMhnemE
PC2gUSEH0lvM5FpkRbMx/AHIVdosQq8xM9fsotCHwseDEtlQ1bCa8OhWubb5VkofnDIVF4yC+Ya4
Y9YMlD+E8eWEg0h2l0AsV2ba6IMZjupktgCuNsqxKqazaY4eAEpaZJe5Vn90qYyLtUl1iHGJiIFc
4tl4TCCx74Ks4r2xKOxtUatTPSf9t5qz0SImyTelUfAUWj/5GlrLUKaiJC4x6UUlGMJWH6Sww+fJ
tewXw6qNNwul7FXog5xxyzldm4RO7rWjgyeyhiFy0xj+Gtb4C1F8BGsEi09sjElbC2nWxFlzL21S
B5EWTrS3OIeFDKriWbilWAnfuPcGbHapVxLn7fk7B33Wqi1hAjkZRhbN5gTIJu4Ns2wjcpFob5U2
LFIQ2a8ZTYpybXBOhlyF/3eC8W9pw9r1cvyuQBHtOcs76waNxS4zfW+dFfJkdYW7NslaXBXuEsEZ
RGsw6AYxiwxnkWqgsm6x72fzZa754Ljq/b01NdmqKKZ8j7dMPzTSitdW70cXUimR1qPKaOaiXMlh
sE4Jhd1tRzXrlLRTfggE5QFLD8Q01C2oRyJxXjNl4vqyHVYdNkIn2FgODLqk2eF57K4E1varzNT7
jNjgFXnMQMonLTeKJKURFTcJW1oe3Jb4CFEMRGo2JOT0Pv4WtoK32uwEwqO03vkKMAo0ym1tVPPe
lMkCewu+tpNR7NoJb6eqqR3M6ETglN3hMH1JpLOrCBpinxJcg8MiHbH5MhbzTU9Gh6rkU92GF6Zc
CkZ5goyknd/SJno2g+AeeOW+Zje9LtP8JRDJuJ+xutK/DV5NV3TruY36TQDm4QmaPSmzlfWqA5ON
FdljGz+2jrls1QYxwy7tawSbHsbXSH4rhqDGpEZVG9c/JwKsuf2n2Z6/6SGB0duj0SVpYlxPwRR9
EnW3INrpKJ2QO2OInSa8lIm9N+lRNslnMn06Wr7xlds8CX/o0VE3wTbukgfPjmIg8QE6hWboPxtW
62/1iC6dLmd71fetcUCEufzMJ3ECh+l9lh05FUnRSJ94DZJakkZSHh3T5ThB0p/eV6PJFhpJ5xID
gS+XoHej3cWFvsdSEvwpJGKjk1HnFHQI4+zoSFsDbc4zYsGO/j9eJn2bW+3yeVaTEQVM0ZkAEEDq
6hhhWgtQK2ao5ahqOqmiH5fjJO6imPYt+6EDKgKPyNdeecmmM6rF/xlQNJXdyJFzUWG0JNp/8aMs
xBQs+QFyVVoMLpLRlq0IBynItRXHoohh329I3yZpJlp6GlNFb44sR2MbGg1njAorVQr0+LphjXuG
2TFdDId+NxBA+MRTI8V1arjEk6olG6LoPaalcWm9leZyOjETPXxPZ3LAUjmZV4K+Po7olriejFiO
qDAockeOZ96bnau20m05iSBYE69VNUr3ouJFJmAHirTQ2K27T8RJs3XIDUmL3yR5hr09H23IEhdo
xQEdNRuOBM/0OF8Bg/wq88LaJC3bv5UT17duCxTSHMpjuShKZpb8o5Wh5kg6OzzZsUtRoOOQ7/ce
NYKlU/N+vaF2jO2E0PYYSsKoOCcMe0Fyyef3fxL4BfQyybH/PRcMZcF8gDdcv3SF4gymW4sqAV7S
m5E8a1gIYun1zKV8CDIeZtICZBOxanbvheI6x4RoaeyLfUbdOC/wSK6SBPC0EfAVixg1C6lJ5V4W
QPyrRHEDSconMo+glaHwQss9x/fYC956mSHKCEfdHlu3JLgA4+huNmKCVrKeHLd6mtRaC+7LKaiF
1y7HvmaAv7B2p7TZs1XjbN/3udduhizEp57MVEUoXjIZ9CanEwGyrcKfRnZ2KIqC8Y9//yqoovqF
4h/ZqllKRdGfz0HbdhZMvoCUI9YOEHVlNFc7lY0jvXiMsNeuObrnKp3pkM0uxatwRrWxjDuDJKDd
AB+E7f+Smtfm812sOuJnBqjcfL+4Dt8MZAtLsKEz3+X98kzyni6byV95V/q68kiYeVesOBjZL1Zp
lnv6zX+1f70JQPmcj7SO4R3spMMIUI7gs0k45wPzVD5EVmAQXkF7uaZTjRu19je69MRnInvmHYJN
dDBLl7uuFE/LJL8C6p3tTRes4IydGWzJBjOd+BzDgUo3mcpAiXeM+9hge03CCxk774Un07DCt9nE
5zWkQCCIxKDDiGzjhVJiaSMZsoYnPK3mVWCO4WmIw+oljElxmLAGkGoc8xN27J7eJGHZp7A2q5fM
69DQN9rAsdYNuUBkmYfmPYcD7rDEUdOD7osydsBIPfdBiSSHc0v7iRxJ/kEh8uyEf3i+DB15a2Om
wGYuP1iry+I/i7moXxo/4dK674ZTrqbwqCi5ogcAp/EyTyjABBU51fD/gjbJQNb4r73bDaS0JRw9
VP2txG+5DmjmwXBow5NQvB2lQn7sml9g2E8BFQtAJ2pRcUWVnC42JfBLXRA/1eKFI65WzuY5ByN7
U9oyPLm5zTdXnHzcTcl0uBeI8roVbVEAC5Sq12NNac6tXUoKruNArPfxQqzGoGeUeLN4jURK3Jj0
jQpJbR0AQW9dAsU5nWKYYH4MHJ4UKD7jkTDf8M0jTLhYBWoZg61AB+QRrgPeA/s1+4BpPhjeEhPo
exz7AEwP333JOXnNAUN/7qpEf9WDTxeqY0PeUkqto23MtoKVkWC6K7Mbyut4VD1e9dH/sx6c8C2p
NGYrN84n8h9YmZxkbHaT602kQJeMgCFowi+pXBLKOsiRpNNWFLg3eZ38K47u/3Whv9GFLk5kmpn/
XRf68J7fs3lhI/7yo+Xvr//4l9YhwKMH9w2rbACHziH06t9aB7pqfwhMhTaHa/RU70G4/5KGun8g
jrBoFEFsdiiV/Vvq4Fh/ECKLNlSicmC3+M88f2Ta/lxpJxOVRiY0K4Tn7M6QVf7cGAoEcXxh2Bhn
OlbDHVm2MHyc1j0W+YzXvu67jaB2dW/nEnt45ZAGDjv/SHcdLVtWYa8ifudsdxZEhEb5B5g1g0uk
dFpy3DVTVIJlvM1UdB/V9oEyEOGc4HjWrDDPY5/djhZYfvxqPudknOWmBIAadk6wCgrcDx1HCNjE
hL09YFwh07u2QE7aUXGNHbh7RMlHVIqHoGrq2/xPqJ0rArieUvxXYDkQi4f9HRtLdZ9W0t03o0sh
zk774j7hUHuqar85T5jIaPk1RbYfgGmAfCr11YR89FhEutimJJuzFw2Dnep6IPDIVSUSPiGuW2lY
oPWwmW0GrWvSgXRjYw8R5XSYRSu2nKk5gbuNeyVa/4Aa8B4CFNJ7FZiXIjPP1D0h7mJPXEW+srYZ
ddhV0/jhTom6WDNgqi0JdO2qibKRM2mzZgJv17ys4oxUPtt5ruGdCtxY6xC01ap3vHqnrQi5mi5t
0127HQE1WT4/NC4BDuMUP5M+ZD2NhStJhvOGL6VZWcCNmmAjJrsKr2t8GQJ8dZwQtdmwzojzUAL4
fkADm2X9Nhkr3/iW5dr0ZqqEvUFlTXYp6Spl1XH2c9knwG9gHaCymk73jV361wH2F4NaT4Ozol00
h/vC6toDyge9BzVKpgauTe9GF6W6N6BiEAaQGEWs2D919oCRM3Gv8L0hGTPBV28JQYXaRUeHykEK
M/ramBK7NjZGoVGK7StMT217qdI8MWJkhxWqBXC/9tB5ZMwNGpj4CTwKTs8vlRW6RK4B0IVixBRt
pMzs7BbT8S5UWbEvGzje0Y3tzcMw7gJWYAhTzly3iugPCgPyCThUJx6MYSJod2sEbNHY10VFr62d
QDZANgxCzMoV+sK6PtXNjup52a/NXJif0MrqOzx+c8GJgPLszkrMtFpnRqQ3ieliUjDQswbbZBqM
5zhzk2xjzR4xHkoW+oKmU/irMmiIm4maGbuCFd6XeUzCLTMJnGrcmfFz6EJ0ujbSyTLXRT2Jm3kY
5bDL6VKFa3wEEENMBQeGI0l8wGtkbJOZc9R69PvpgTYBBBCbUL1PGeUIqjyNtL9itIJjHBXRTRNP
zY1sEp/aVQ17PDapifMFxIUaIAmFUSOw8uXzIZnK+lZ2bfkc6IaMHZAdSy7NlHY56AZWMhQ4IVtI
GRKg6Rks11R7s1WktLvIttW8Eib2UDXMWQF/xVaAn4fYYv3s1H0/eOVt49fR3sPVF5uDexOkQ/QY
5rU+12QDuauGJNUv77P8/y+Iv1kQkS04rB7/fUG8vCTl9x9Xwr/+x18roZR/BKS9O7BJaZizIaOh
/i+PhPkH3m70CS5eDAo5LHf/Wgi9PxwX7wS4TMEZyhJoD/8S/TnoAV3CDmgTmwEdcvSA/8Aj8bHL
TnudCjKfw5qL+11+EEhMhIEyuBZJXbidgq07Xfz05oen8XuRG+KWZR+wuDAWKRjSwp+XWjQVS7UE
wf8Q2qtsBrw0YWyQPNJ/P/P/w1WWG/3Bxc9ipTWQMSI8y6+d8bXS35X7Gw3d35/VzzfyQWzlJZVD
LZtLkGDpiTtC4Zv59dd3sXzEjwIAfCrwd12JqpME1r/RGiX21HIw/PYwOn6zGgyqfAnK6KJo9m5M
k/DXV/vbDb1fDeIg/gFXQgr++Zl52tUKAyPxaFXEYZ1++SopgD3mUZ1v/vmlkB2CVXcJd6aQ/fOl
RCdrzemOG4v96FGnDpitdDAvQkE/+/WlPkqNlmdo0h7lvB5gSQo+vCYzc8WU21yqbMv+KstVdpBt
Oq1DPYNxZH+zr4Zo+qdjg4vCHjbBypC/TUjIz/fnJqFpQRXsDlPGU7ToSaxkSzU/hHf0m/v7KOda
7s+ykHItsj/J1vrnS2W2Uc81CLFDMcV2uMpDgzjkxk+PmYXlH5J4c1tPpl6xC4ovfa71b66/jIqP
Y5R8zUVW5S9T04dRM0VOHQNL7A5+YeitLLlB2YxPv36Jy018vAhYJOEv+kaBBujnm9RmpSYVWO1B
qcbce2M8LvhHO7zOLTEf5old6NBD9qvAj+1+fen/NH5sjiUWaCfW4mXy/3EmCVxHm5FlQ/Ids4le
hKsicBuTt/YMQXgBNVeX+FyirX59WYLm//7rxw7vcLMWi4JpfhRgd7lByMnQtEQOl+03oGhiJNh9
tIB/Meu40IfuicugkpD3lKs60e90Z/MKqP7vJz2M+6Ru22f8Cra5pqSVblrl3VluMbgb6rLjVdDK
hEo5uDBb6WFnknf/kAhrMSwVfcqZhrayl3rpuZMDUpOKxpkPHMn3OzbI5nDo05YtehMLqrIYbDPD
iy95XU8khJBbJxMQVbLtKY2J3DsLQCVopbySyr87xRciRSW1jBwIg0AkEBsucQrLxhFvlso30DL6
qz4o5ifCoHMgkbG1Tr3mmySmF91dYW99oxk2nTcXe8fqrpzMUk+6nJy7MezNvUH/dlvZbUrJT5CA
2pvOrsuYQz1dmxefbtc2tR0NnlMP97an+BCKI1feDLeRoENrovffmZeQnf8BSCnVHaLt7sJ0GL8F
ivCKAQgcfY9QMwwGoCLEmH0fSxl+jmtUzRsSzecnhHquTZaE+b1t9QI17Bz1ZjSOjtc6zdVzYCV+
jCRZOXfDIPig5QGjaL5UtKxwtKglzmZyJUSBUJEQSs9vlTgE/bCn9eo13y+jfak8zMupARPR+a46
DM3jpPo/01k/ObP1PSgD94u24CU5vZF8Vhk2GjEhgli1MT+kcnS+L9XhANtIMx/ShhkjReimKaHP
6rkXfF6h+R6p9rJTEbjdc7IM/Vw33rnw+5jq1BhubbeFq4KZ+W7MrfQYlfawCdq63QFkEHtIGDB8
WXCidUAWIuzgSVCUzv3o5CJgOdBY4ALWLNdNk6o9NpjskLrp8MA5s39QJJfRdwk6BgZpE3d5hDVc
5GF2QuJJ0INR9dsBFeWNH/A4V41thpsCXcOGY753rcYgTY+4fIpdnTdgQ6G+Ee/at1QGIWlECNUS
8ZCWfaZXS37ZjZWTVhlHkdibnHhfSX4EoqMtI7y2xgC9RRYj71owCT0uvdC5meLW2kzRJNcagNtp
qtvmqiGC9p7Eu+Eog1rehoZt7HH127eeWURXGDmfSaijVgh2Ae+6OwiUSDTjjk2Lhavvda7XWRKH
rwo1HgiYEfOUTRThvkIa9eakmf9GqxebGmTLc0sm6mtMeWMb9Y1Dhg+0s63RqQBtRLA8j1Bk8BBm
/WfOyStdd4POAUmi2zM7czqQl2hd5VHkPFJHJ3V08gn1sA3X3Pte2e7d0Rk/+1Y4QPFw4ztRNOIw
JFYuN06vKXF7yYBogQrSNzPr1Kkp+uK6x1D60tp2eSn7KLiB82E/UhBHXwULxYBgiAlpBC53a2Na
2sG78KEIt+XLFLvjXTtN+lansbrWXSOvTE1pmcO5e85qOhJm4w5rIpvkQw2BYqMQSh+oNvsDwFCL
CzTmMnnlVqju2plk1RUU4cxbleC4N2hhK3BBo3hzEqkw8XLGf2jaIeX4KLuDOTAJZUbR7RkaCPlI
/drVU93tVTUSCtTVSbdhQwlHQTjNOR8luIu4auLHmepntMLMy2e6YSw3aeDBWaERfOLbRo8WOeen
KZuaMzoa8ulc4LXrVJaCfJIipYbEYWEHbkCijouCo9sF9Auoq29rsWCL4gyGJu48xgQdc1o+gVBb
MmTa4/92WGIyTHe4940tdZ4Qfo7Ig/UQKp6DrtjgWHQMbsHoEfPbKMU0NmR3eeUg/kjFtFbMAl+T
JJi31eB5B2JEhu+eoBFhocA+v/cPxioh0tRHcPzSZZX5Ct0G8V1OHfutw7T5PHUaIaMpaP4s7Qar
lO4DtBw6bBp5INwMb+kI4e5598MOPpa0LWP4PXrL3zhgg1EpLZdEB0eXkY7ksCYUmDq2nS9N5kx1
nzytug11YP4p/HyO6GBoLu+tLauLrHsUEpSBnbh6HpKi2KsAMy7dqZCjvClYq0WxHiGUYmlcCt9V
/0KRUh19T/ocsfvU3fhhJpblHU/x1A7XAQIMOjcxJtfWDJILQbnDxTRUFKxQjulDhc7Fgndq2ke4
HQNx9P5QnNLOpC7uVVL1i14EL3NZ84WFlvMhSGibmboTn99Vi4mzdCnfrU1u7ZfsZySF/LnuuWxC
w/CkZ5KozZbmDuAE47FOJPYGQ/PqfXvGeuTREuxzO/7zvTuSLZ2bopXuOTQB0UZysRg2ERbChv3m
noNoe6Q+lD2PAYyksmzoyTUSBy+BUuiB6LIBa6aXuix2XYAayEjpK1L+oxdl0kaoAqRJMf3VW7ud
nBezaPJtWTPAgXFgUWZErzE0qC1aqvJ7yhp+RAPZPXaZnJ8ZSNEtHOLoRqV98FCmSJpgz9IVauty
77e2/Kw4i6oVCerhVT6WbMXfuyBWaOhbpbL5bjbE8J0inPFUQA+mm6lSc+Mb8q/3lCkdvk2CL6sd
Gyu2U5vX9AaNxyjMmGTsRWUDh3xruDr5UvYQl4Nq0DsDMtcnu5+cT0NrOJ9St56uWankLm5iYzMl
CfW02qGfHobVZY6M9r6Ki3JLQmRBAc7W+JZ56spFpVp1vn9jLdFPZVmx8HXp2W3REzZVTB5XD+YH
bqTYafKIzh56om255FoXk7JJYitMWqfC4UdMMPqpp6d0E/pmdET+igTpfSzPvoni3XB89hW+c54J
47n2ujLcIumJ1qYDE2hFDyS7EU1aHCUqi89BCNpJhdhMiGhiMYQgwuufMe9lXTWTl0kzOBoDu1gj
2o+ZAs2lRYf8N5v0NZPCdLTqsLzx2nnGT44vnJ5aPT0LdO7uqpzHdDv3U0cDOiO7PMDd34OsviGS
CT6KTSPY6Qv66eMMTQ1uM2nWtb5pvI6l24uh6HkEMWNwmwuPkp7ZhsnKN+Ngy9o0HOF5wysJnQ4x
mMpLE1x+WT32uDJ2PRMOeyDEUWfTsdRNQwsdCYAccAjSzJxGsz416Kl3WN8MCslZaTx2QtBtgl3E
jtmxyXcf6IiLiGgOCrR1Ckts8Sn5A/BYwCx05ICOPgtkB9uipktrB4n5+i4MdgrEns44ileQ7TQT
gdfaVHoX/TwKyi0FSwvFF9r3NvO8k6QovvXV1BJsZtE2tKcB0XgRSDgqEOqZ6UrwBXdCIg2CdJPT
Rw35y6NjNJFaUWkdrnpyDChrZ85tasO+Ie+vCQ8dUXP7RNjzEYiN3I9EBSx3dOPF2lrTCIyvzTkh
gbhPigdLZ+0WHSfo9BpkMmd71a5sd7K+TuXkA64omwd7sDGOZIlxRj1228MFXJEPFcPJMb77jfJ2
plN+tntkYXk6hVfcRrbJwQ6zoYu6duf77bitaEnuwxANVcm+5IwQvsUq0Qhvyw4xRrTlEqsVT7cW
fTnS4GXxzSuNb/S/b7TV2TtLj8Wyb2uOMIaslTcnjyPZMOvWNyLor6S6KWNY00YqNxGaVjRh/mej
pA2g0gWWkJDHu/HHKILdhPhG+Aq9qUvSbe7V3C88Kxz0vSUdZmzkcnV4qcs4WmcE021lkuNyqoiZ
3s9zGn+N+sE9ZNpE9j71ethqf64eajyiM2wr0SAst2ICE2R9W5ZZ/RmsfwkRYiogDNUI0wYPt4SJ
ZHyTQ2M49sM0n6wkyPYE4/UHgxI2IrmocW4dv51v00i2D3VEQR81rIcWTi/Z0LOUW+21IbyEmIxe
4ht3Q5NRjRN5coJfOCE2Uc1r0M7F2QwMG41D7gbtZqwiKAs7v9dZdu7KV7b35hfNcfxiBj2ofFjB
1d3QpAR8WVU/3oYzRF01obhIDfKKlY882CqIS0LHYyBUalve4gaG06sDvmBcD/E83TimSu9KF9h7
jz34i2zZX620GVvXkx+oL2APvVMG6exTOHkiXJC69rNYVkhpFjXyDz+mL1P2/8PemSzHzWzX+lUc
nuMEgEQ78KRaFFkiRYqNyAmC6tADmeiBp78f+B/fKxVpVsjjO7AjfHykErrMnXuv9a3LOPGsT3HR
tI8Q+uxgbNVwkdtRfzloU/a9tZbU3tjg4TJ8DD/3rix+FI0LcN4xLOKy0go8F3TFCyMzrWPdcgJ3
8M4y+O9Li7NuY3XbSWute1G6YPlD20DTARvrqtKmn1nvel/Nyi0RuM4e4JZ83mFcSNdpz2iBGm9m
K4wL1IudNg4bZ6pZydI8DVLZQ/gGV8PjZbe9mDhVYKkSMxgUbxM1ct6Ao7rTcjRaBEeAgElbuvu6
tyl9NFyZIR9BuYhN5qBxWOH/VmDxqIz3le8Ud1VWVMd2zs1DXaNmpJ4v0ApD+cqk12mBaAatCDgu
OdrPCYgF5CfGkxBFvIdWI8aTc6e35xQzrEjGCO9RBrRHNsX8M6Vi+jIaorpPVaa+yk6O7l5q0LDg
8KuEiV+1hMoRBGlymGrLG0sYQ7l+nddntUOEbVcP6UVvdj9BbaBno7N7HH2vvBRUtt9LSXjcFC5c
Bi27mqsexmEDwn/fIr9fo5CqjlkvgWyAvWqvaARGV6A/nFVq5Wmz9TxbIX538GrUqXnL9/+jLXUg
Kexp/qqD34VysJ0viMLrPmcYi0GU5/HDWDeCjcs1tkZZhDeNFNU32mDPVtoMzzgEvsyE81o7Fw3C
RkN+sE/VzMouNbHmU8u/wL0GeYpXor619bwp1qGDpD3u9B1zLoI4eOOhx1XWPo4d92hm5IKusrpz
DzExegGRktE35BgN+kG9WtlCA9kZje4dRx32E9w6z2FB2KKM/EdrtIZLXRrmnr/FxECq2i9WYv1w
c0AiPU0tHN5hv+uBWBD4K6b0k09uzb6HswP8C/4MyNKRiHqfmyJC99HtY+suIfYAgeEyDquZ/Q4l
NdUUO/7O1myyRGLzM2eQBxbk7HqUs3OhsFus2qF1tjIvw5fKz+Z1jkiENqFIrxwSZEGVaZxiIAKN
AZRZxqz9UN6WcDapcDX6zUV7aL2puAkTzfnsKj2Cm+qYV0bci19GVJbrKh3ktu6S6CIs4+66tMf4
mNuZ/cWSyPxx9cyh1j2lJZDNOGv2BcvttpcCkGE76jdh2DkB8SfdugKGtJ8g331pWXFX3Qhaz/d7
fV/n3V3UEQg5gpK/EFE17duhfo790g3SKGbHohC8YCHVgkL4/ZFSziUtBAFzE6mM+rcqf3VAdJIN
0I5vAiPcU+O1HYrYCNfVt0pPU/3SkF146RHTtKFbMvCyNeZdZ2rjtNYIlPavkryOzHVVKjWuRF1J
e6dK2shrL66Rmk51flcWxJMX9uTv42RxttLCusMS9HMcMdzoM6VKrUR9oRNO5NqcGuwczQBFFYck
hbp2NpCSFYlvgPc0Ag2R9gXfvw0ryXkoUJevrbCKAqrCfEO743tjQnep9ClE8sv+Og1D0I3Oi8sR
ZEzno13rN9RQDp0z2kRa5xnfwfoPl1Zli62jBI2UrKyvo9AIel8Lf8XASD7bumbeNKP/S42W9hDx
6d2TI1XHG7upFFqxegw3jccQn7ycak9YSge0VZUbp40Ir8Kgd8a0+7YLajJ10tmgaXGD0GP09Xv/
VTS+U7kJ/VdXpfmFUfT3DhLMIHI43foujfyP+67vDUHQlGA2JTuciO+TTnNUK91AIMvPNa19p0y1
5wQArDJ09TPjljcu06VzD7WaXD+Ge3CdTzvL8/zvprYzL3kur036Kex+jC1Neo28aQyECEAdb9Zf
4nA5UQ704z6+3Pe694hrENIgtLG8N9MDV7Qz5rgao1pk3djwRD/JiD7px7/y3k3lES49bJ3B5ylu
wsKk2VkFM5jXcUhPPu3a8qdxZVipPPP83rsgCyUdeiFac7j2/3xdsrEr4UAPTJYGBdd2qJ4dr3r+
+HLO/cbJdCexW9Pha60Dw2wJc6/3llecs4CfKJLIaAMNRTIiD4fXAwben9fh+6k31GZbB5IN7FPU
6eaFWZV0y/sh+RprjFrQ7OpkVNNrhQGpH3C0nxvtvP30BJQO+qh8fz7nl5PRjkW4lCAGQQWRQR5t
C5l5PRiZOuYk8Rww25Sbv72v/J5L5iiLKXCS029PUVt5kMdUUJQjq5Qz3QBXds+sJ2/fRcEM3QZr
Q7oCzpGTD9yPkFPUWa6ChHwNaKtVssZkd3RJMTvzKr7zS1yEZ5PIaGD0dU9eE79JknmavIpsBQ8Z
r9ZcEnp/J+v04ePb9s5jIqXD1A2eFSuXtUywfpt1O7LISLtxq2BO9G2dv2ge8YVZuSiQz+QHviXQ
e0sgyP/7qZNhIwdVZ7Ey4p3tfbp3pRWtisH9J+Acj3IPDGxCPLcH/R/WG2W13kavEWk61K3bdjbb
bcoIaG82nKWLWtAFKywU0LaXyotWjDivhnj+FOYUg5YCo/iq0Ke4are52abthdvn49VQdbSxJkAW
a87aAJ+dZD5zodYSt/LnwJFRJs19nQ/AwMx58vnl+awJn0QQPOlx+4gOT78yeu92cpzkpZg796LL
c4YoOdJc4C87QoOW5Hfn4GCUTWzGM4aS8Ma6+yKkOmqdGCFgcSsH79MccrosqkxtG1xTK5UIF791
KjAmDBWi5d50L7RU69ajVVkBA65h07aY1vmddMM53j1mFlqGNEMfNbJeb/xoWM8umimLK/S3XmSC
0PXnRv/mLkrnv37XWJfQSZJ46LHvn7xrYdErxrAT9yXVmmNv+OLAUx+DKK1xjY2hGIKPf/Dt5FcI
mB2WjaUVpNXp5BeTHtIzWVSB77VQw0ke3SrgskdHyHYfelF7jOm/3EF/j/5hm/2PFI53Pl/G2vqS
NoFm5Y34oo6QncWdU2Knn6avvUOeNior4w5yS/rzry+SKS+rEQce/ud0hs5whKJz6sqg6Gtaozgc
a3o2qE7xXtYHp8kSb90wZZtWg0nn7uMff+c6qauImNERgSMlOHnVXbLVOXuWZdAsuUhqKO+iBX7i
pVP912WAtSxSZMaiaiFA9GRB5CDYRMhhl8Qd73GaymFjeqjh6lyIv35NKTcQTCGMQobxBqAiSWHo
or7LGS52w2Z26L6I9HoYbMCOmfPjb2+gpQsuzEQrzSjpdNuKklyWVq64LLsQgSansmKQQGO3yUV2
DvH0drHnxyhtKA1splqn25diQBw7XcGVadZdLLRH/No/0lHcoZA/U4Ms3/KfayA/hT7H4dJY81/x
JL/tK4WI0S1qTGPx6W8FDRO/svOVm/cz5H3srfAIz7wg7//iq+Z7EcCdMrs0S7oehI4sUEZPmJ18
qSbjTtSZwv7ikGramce/f3QU3kBWqDr4xZM30gY/Bo7CzQKt6y6mvA/ID7pOHP3Mz7wtGC3Qw2hk
ACBTfZwqq3pPH5OEvzroNXMhpAA+lyM74scX83ap5FcMnWIDtpHzhlqDZXQs09TIglpwrOW4h8mi
++WWzk2qWqZq3rwWU3VmlTTf7pT8KgsHhi+yqt4AgMJixhIXo6rybcAuQ04aKhFS8ChHn1HdXDLJ
aibyXFY4yLN4TbSIpPetu/t2VNEhZ5i0GyiL5slWtzhTwO1ISXGwlAVqceWhjXHufRPqERb5f/Mr
/8c1/t0HAwmLw4+Bifb0wTCXjHPam3lAi6rcppOfXmgjzY6PH8zbFZZbhK7S9XEXIH88KTkLS7GN
RFUelK0LYb3qAz0z7jz3XLzzu1fjO9S2rEPOG7617eailKpkIRqlYJodxofR0cfdx1fz3grkUALA
I+JQzr37s9yc4fiR/qxlKAiwePYu2xSOeExmTf4NA9vfV9GcGW0DDJa7QANPT6jAYBxSIfhEpyz8
sdy7OnFuijp8/Piq3vt4lmAlF0kuB4NTjtXYZKUxV3w8eWJ7n7OJuEQjtH/Qca12dWR734cc5Bwq
lubMVvXemoeQ1KKuRjL45tBD/0SPhdVnQUS4SVtqWAqjnUwfZDp/Ybk+82vvvSIce0xe9sVTc3o3
oQOhI4PlEchIQkomgv1mMMEUfHwz3wDMAALq3ETXZDsSyJxP1lW/M8fOpu8WeN2gPySxXu00FMdY
YkSf06B3h/vU8Kp1V7X9tZrK7MrOXbGPPYRdM65upkup3BgK6AqGRYayXZeeO92+mnpO9zfP5YTN
lwnc87TwqcNGt4eiYLcZLXqFrXoxWhjmSEuaQ+J6jx0w67UrYzqZpUgeMtw2h9CvnmPGurOz4AiG
wjrQRfJXzqRJYnW4jo9v5DvfGoMtSlDA+MB2TjfE3OXfkIyU20M5/5Cz0e50iaIqzBliTy8f/9Y7
L6LxKjS0F8UqVfef37UJjkknCpnSPjR+6DQcNoCyX5opLwPXL1Ncy057psJ456MzDNr2VDTsWG9K
bNL/prGOKi4vtb/GSQSeitE9zcx6XglwBfeqHtSGkWwf/P21Au0kd5DKxniT/WjhVEngw1cBZ7Ur
TO818tz8BllyBOohepg8OzpT2rz3JCnZaAMQ4uazlJ3cXYeRQ2OpKtD0SK3J8mE0WYr2ZoACFBQO
B+mPr/CdPYcLpIYSbGwUiydfYBHWVpxU3Nqxj5BwWzXJuapSG4Es7n/zUz44GM+hYPRON1HpWklb
lBzRDL8qPxPaBL7AJVk+6QzjzPL13jsq+KAWH8IieT55R3t0MeVMZyBoiu4OzNVP21Z3ecPzSyJ1
40F5+evDEQsYpgsTMic68tMP0BhpuJvNXAazOSP0cYfbuqs3kj7AmR96Z2FGWwyYU9B5xsaxPM/f
im05Y1/XQ46AeWQ/RuO492Z1d+aVEPwdJwveH79x8k742LtSy+I3UPUaS4qCvGjsxr41OweqWj40
3EUd89FQS/CbaXRfDTVmPZuBDeD7jOZfhySKMPJ1ZeEL1KCM42oDD5KIFuy7ZcU3ph+RCzNhWQ6l
Xu6LBoUGp9tpjRYOh5PtodbWR9z7xoL3IxXHuJ3xsT3opQFgqiqaeq8TiuFzgBqja4JfqA6rhZZC
rth1PLrx3qib6ZBDUAA2Hxefeq3uAy/z75Iqa9bc4WxX0CuqVzFqoQCFUrGqhlluwy62UQySvVBZ
IgH7l3a7j2/ve+8mu7hr8J6QaHK6fsICU4S28m6iFXxRY/viER5rCW1Hhj2UCdLOPv69975wam6K
Pdr3KONPvgU7nkoloqkMiP5aek5Xg5kdhrY8U7y+9RcsCHAU/tQmtOn8k5+BwBWLevTLACXpjZRJ
jXDI+66yeyZRn5hKrzvbfI7q8syRSbz/u3RpuaMcrk8LMl/ChZSDTU+kmuav8ajjEqot7Qa1u55v
GZxzxlF2AaAn69UmJ9ySCVfJQq7M/mAj9bXTQTsIvdN2RkuweYg6jBdO7jF+MMby02+2QaDZMKIH
gtEWbfyWcN+E1L1NZIRfzAywjTfbagUKwMJuOeNXT/n3wEKSPxF+G5/T1zCsEU86ji7+82K213HT
plsXmM+DEva5R/HeE3cgsoN9p80gjOWW/bZGJJgKC9LpywCi5sQAYTUNOtkW2Ik/frPeW4t++53T
wqiXfZFXcCADz16Sl+g3rIkG3X78I+9tiA74WuYKzNvAdP95MboyZaXgGAYMnbz1tHj4dXLqMhIo
4mY6Yzp798foV3JmIVr6Tdnr1CxGZc63osUOYaSQhMDf7ZCBIahskzO3772FwKHtz26BZe9N8ZtP
k3BSpBSE09Q3EEKdNeiwxyqvf7YJ5q3YOXMn3yZZwzh3OSVxgMVL5Z7OaeZG5txf6rR0zMFrzaZx
4c31cDDpxW8qoZGwLBUIFOmL20QP42CKUDZHVVJ+8iKPIJbKmu5dfAFotMMIZ+rHT/q915bnLGgj
0b/1TxfGYQwbLYspcwYlfwo/eojN/ksuGCb/L37H9TgpcvxdfDN/vlFNr02xRJQTcBKVdHPal3LS
hk3V1Wc20vfK1oX1Totl+V/uyXcoBh8ZNwKsoEU4Hjfo3Ibypq5sguWM67xSd0Xun2mzvPcC//aT
p0TidLZyhDp6EZA7vCf28adv5ShcnYu66s+cOd7EZHF4g9m7ZCBTPnIWPmkIt4NnyXl0C5YZc3pu
Y/kLSK6zhg3nrWnfRusFmEOosF5uE7UIjjVjkWfVKH9g/T1aNFUeQwXmsTORLWNtwWwQt/WXaPbh
4Zd5Tnht4+1Gd/AePJtVE8Jjg2pCa0aic5fWZmX+0gcylFwAQaPUn9Oqu8KTKLekBf5MvH5YFZNI
tl0xmV/ISLfZ7HE5f/w2vfcV+4tTlxYH7+3pADbPZdOUiJSDWc6HuZ2NVatbj7a0L+mZPrbJdC7w
/b1HvNgzcAy6NFtPb7tMjWhSFENBooDw9LKr5e4V1yMiaHOrZhGm/vUlsq8vbmOCSajcT84kvjN5
MLhEHoAttrZxPTmfypgKbUqr5jEluIBE6/jbx7/5qtc4KULR3pjcVD5RjrYnb1ekTTmT2bwInGL2
1/HQOV+s2OjXpSBuKq7y/AEoKTAgC8nWq07Zi+EhFR0pNi1aor02wLc986yNd5qYqBLo+iyrtvvm
7BuN9izDni+6mUP0bCKydqjSxK4J62ZPCIFY8aYgn7LhAkd1vJ6YySC/ts6x+cU7a+XiC0eOQYgE
g7aTNUxHGuEUZFbhW07hir2KmxMBCwqBZWlf8rjcQ5siScRnAbYzp4lsaAVzVABb/edBDPpumkL4
S6+BK+2sf6UsLvfEm73aJrIdyh57jy7354QikyW731pOGm8RDFqbWivbIHaUux3jzt140aVZZeJL
Jsrxms8WJ8rEh/AYe51/kevukw4l88zB/L3rZwKGB91dJvSnjSPabWnetILrz7PxC9xuBGnOmDwm
hhbvPn4T3/sp1JdoDXCjs22cFCAMnQjoWLYlqNzxRipvsfSMpKj5cR49fvxbr8/t9K1fur+C0yvb
4Onxv9ScvBuKhMNBD51uBd1hwvExW8aeqKse6HhuXBqVHn5uR3O4Mk0tujFbzV9bIpd7WcI3e/0H
/X98wxl8g0kLi5X+/6IENi/ty38Qdpa009VL8fO//vPTCzzLl/LH7wSHf/+h/065tJdwpmUwrHOc
pDnAQv7fBAf/X1Qf6I4YzS19fl65fxMchP8vJry82b61lO6/ExyE+y9qCY5XNFstl91Q/A3B4XQX
IfjJoU1OCpSOjOaNib/UceUWMbGCbmTYM5EeVnlknjvdF4Q4o3a2z2EQls/k9zebH3QJJ2DH4l/+
tqMMBzkmcd2ZgnGk3NW1HoOPMyT73x7C53/+vv9AHPiZorNt/us/T0+D/Aqq3MXEb7M0vtkcWyZ1
vbLjMZhaLA+DOaqbrKrJRnItudW1AY5KQ4vLUql22wzueP/xzxOK9OYyaVMuKCrLM3nGp8dgMhTA
v01uGxChm48AwYmBy90YPyRCieNoxvXFiFS32SOGBustoUYvVOaESqlhyvoFsLURrSrwsxya4wT8
o4EvwZuHbDeZGf9dLCBFsRa5NverUeIQxE7YAH1Ddzv9orOQ3YrUg2yOJyGILYyQoesoENS2+oql
cNovcQjJSkbGRMdDsbataLjOga5G4w5NnryqQfre4XfGViUwjA9OI1+8okh0xN799CtuuKK+zHtC
FAmwb9KxPIYGvmXsOZ6xHiqzPMahTvs7meQT6Vv8wWFM/GMDv25LRR7e+j2U/k3fSL06cKvKgnxs
nT9LdqIl9iZhFNDp3AYDOx6Vu6maoMWNVXxtI8+mLeMjMsNKgsjeTeqbKu+JXO4XpXbaugBiHZRB
sxgTGhHFsCGoqr7IOlPdwJ8ML5DkjHtHGflBITPaGqLtH1LAsg8qnZ0vPB1ziyKGTAcTgH3njOr7
VBGtFblUHslQTvc4+KunTp95Mor1NnAWj707AOoTbekfHUNLAgXw59eASeZer/kjk143jw4q7WM4
RtYB445x1wHdfkzboTyOVeUfi4IKa+OnykpXVoGEf+V0sw6LIZfbRob5eih7cwu6KLuV5FWuOmIf
8EJX9Xcr5P+MMgSC6whzdBQA00ZxbnXq+9jwOXtaO+2dpMsPlcfDnVw5EIycQjxtBKQLkrIJ2pI4
0+hcAMR3gXHvNSPMbiMkfMDHY3VFitQSGh31PzOdMOYStx29M11n0TCq52RU/QPjjvmTr3r+KhFP
e1mwdxkjV+wPmrwKs+Vj15R9rUV6j6STa3Gs1F+1flysezwFxaqPy/4naT/TfkpM6zqyeBIh4rGV
RSrspgCHWwDs67ivGThNN/ftNXHUKfD5ESQm/oowvHX0UH1n+Dx/Kod4ujfZSPeQ4nEi1SrbwRZv
f+ipY9wlAAI3RMfBXtW4t03Ec0wJFgVkzCsK1Kz/OdVc/YzZAaLazJOwHITkMN+mX0Rcy6c8csOL
vMmeBq3pCEapi+vI+wVIGJwkSC4H0lpYmIe4sZ9xHKuvJsr1h8jk3cR3QX6riTVqY1n5sxW6PSx0
V5ItZPNSLojHMeZB4apsd4SsymtZCOvabwf7uptC465MGvnU2U71jHOFt9XFI1ubYfUskJNfppiy
v4zeEmigpXAkvXKoXiJQi8j8xKQhyybF8/XivJiPoKka7XacZNluRjhvn+jSNo+SY/jtVLUGGQ8c
KWDYG1hN87RYO4OeBG1lupgRwzHZY5Uk7Ch3AGxZRda5SyiH+mokuP2wDbuIx02hrloHd6f5SPPV
yJynviqH9ntSd9ZTgi0jiwJYcqWFzHLWyi1Cu6H7NKkhtC+GSHTWLcZMLHrWON0bJOWuK6eLYXHZ
I7JBNTs73kMbBDRNedIUxpalqSuvuorcA+xB/oWlZZ9bvdFuKj2/1ezuyipkscNAYt/MQGBXtgvL
vrYjmPjhFQBoYjTo8QWROceHwszuGwaXW1Lfu21nTd8Sj4QVq+9+ZLFZHLQy+k7kUnyIZ+ZBpdHJ
Y0XM/Da3+xFUfNT+MDCdbaOkucS5FO5QGxtYdjN/Y0w1cATXjhAxRMmVNRMoAiO+n9Y1XkIn9S60
TKpNkqtyXkk/VAd0N6iUtRG+tw4kpkgyepJFnv+K5EwWBz1Esggaa1r7Vnk7lW6yNQvNv0yx8H+i
RT9gW+GDxfdpXCYTOvXO9yICxHiQptHrB51IgqBwcRfKVnjbatDMNTh1Psty4RzoCBVNrdAvBzvx
gy4yvogCzB/NleZolL7ICaAd2++NHAZnbXMsRbk48ww5eLR9gJ+PZCljIIAmhC/dQB4vTb1Dw+kb
dEl9B5Ng6KjNFDbfRTV0+8iO2PPYwL0ddrJ+FZsIO9PSUbeMZw18bVmzQ7UVEzWfaXBUvfHZI6Js
NYhsvCzHxV+QZ9kTVoXKXTujM+39pIebzUTb2xAghbqktwQVomAWZJhg2DtbuAf6jKa+mVhEcERn
0mxWku/qk5U38pKcGMzvpm4e0Ew0GxHHfFXNFlCsWpU0XFbQ8e0L6dTj/TyIdF0vBmaGUMGQb0Sv
VYDtnflF5rpNt62Y72QqKzy5jR+Ms+0fii6cPieZmDd92KmLrJDW2jFzLB9O1q/yIcq2jSWsGxfI
I8XBojqICIJd6dLbKXLHQeqhFh1sMW0sX6RfXSfCK6tPw84KJ6xZfq/tFCgDhLLFTW5o7OUQYg5J
IoD0o5zcRFrkP4DaMPZ5whvviCo+eP0Ybv0htD5VdP4Igxi0W8KTvCtDzdPFEnqZk/rjAztQTl38
tCJ1hf3APfojuve1NQwg7HN0Y4h04uyTbGbjIJm2qHUSO/VlPofiqUvdyVq59oA81xzy5jKeSCmB
X5jqPyV2onxjoUsaN3qq94dZKcCEhVbvOyO3n4a8SwgAypL0aLVR870QqUOkTmP1TOCM0ojsJwxB
OuiorMFHV5WoULSxBAYZ2/23ihDjdZsPS10g1Q2+m3yDWL8EJNkXyaU2Lrpd7Impy+tXxAf08/XR
V01lobClcbgaKjvBpeiFzTrF+nw9mWESzHEpv5kS1u+6JltpeTaAbJcSKU0F+9CSupTaTXn0ISqy
OMv2h0coimRWwhF6p2cNGw7q3+kX52jwyZMW3kqmDnwDxEkd3VCX4SayF3xunBSETkj7esaDfqtV
UnK5iYh3XZZk+AyZBK0Lirx4Yzmj/DbKjulWjNgC5y+7M7JodfFP8aUS07jDMdr8kFB8vI1pxwtv
sFi6SeM0gQ9MpPNlzBRl2VIw4m7vrWyTxmZ+oHFfHnPs34GlN2RrVQOLcZ1G6aqQxEBsYrthc/eL
SrstI797SEwRXUcFlUZpO/Iqml//Fb76KrSFbRAqAJwrm6CmXy0AIUKCXMoTXynjM8tg+UNIh1Ow
FuGPes0scyIWolVR889ZjOf72NC6hzgB0rwylOYRT13U0z4qyIrWe3Kx4q4fNtFiCqsotp7QmRbr
ZlrKX9xDT2475jAJuAQaOwivinH6hdEg2Y9zWBHzlRDbTUjXRGRWqBP+I0UOPctXZ9QOCzj35Ki0
xB3SXiJLUkDaW85uv81vukpUBazjNrASqu01th/72nXgnkYt0IfJogiLfa6mjfTxs0vgNi4wG4dv
Wz1HYcnLUAp1AchzuiwHqb52nWVdg2MZ7weq3DPdkTd9uqWLvvifmLOjiHqDMKNjkrm9JppAS5Yo
pAaS+yR5uXUjja+1jifN8s9DNXreMigdKP3ZG5Y0nuolldSqLhSMM7GRrz3QPw+bglkksOBlvkI4
70nHMsKvZ/pJ1ARFIUgkQSewmNE6dZwHrd/XdRdvWA7n7URzh+SejqollRwY3Xj5NFBZ3aaDpS6w
MYDtC+3qh0xy98ZzIlyGLQSkUKsrtVKtfVYR9d758Z+n76LJeKMBrE2iTKJIa4NIM9VFSPt+OQq5
5VqlqgbJshzthPI2PR/lczPVuIaHkg+ta+2zh9k37U60dEjAFt0rqJNlePzni2h3GpLeCZPUiAN0
PbkJoe6q8KddRRwXzxVlth8L9xepkn0AOSfaaYb5gknjEUCHYNhMuaTZQ7TpUOZ/6mvTeuol7vpk
Ftmlrhfi2UTrOWIlk2V/iZHdI1LAyDa6BUU+Aci/L1hKgsiHuKQbMc7RsaBeBR57pIAkjmEU0yX6
lWFTK/Tb1bLCmBCsbvuodr5otjsRHhjpkPVKy9JWomGNBY1H3TtUxAt3LGAQ46nZOSxzLoky/ksz
GdclKfQFK/FrrQ4IV92U6LZZU/DabiwgPV998gZWlp7QlCbbYGuOobzKkNgc046YiJ44Qbyxcf8Q
EVaKy8I28+dakIV40eaz2x9VOETcpISgK21s2nFrR1msrzspwhwTN9xluAXQvbTG2nBBpflQhVCb
GiXgBbjOnEeHjJJmE87LfxBS0IcbvWFYsw4TBJ89ujjPvGTC2WAhFqNkN6amr/U4LclgirniqPQr
oLM2JxJYf7z5IwwcbaLI5zit42rkINJ4VvOowx9YYzS3141NmN268IkMGGsObl5syW9T2mW7OmmT
fddTXenZwNdBIkO7iUune2iT/NmtOT8S1CefvCEXyaaelvyw5d75i5/5Yp65+Ww62i3mbnEw2Dhu
MtEn+xA9Z7n27DY/tKRHvYyk6b1Yk0FtaOamuWIJyXai9erPnES946R0CA4Dh34nL5vHkrS/xxFL
+0EfWRnb5WxXxn6+jou2H9bWnI+kpuRDtzPmqDiAY+HUUrpiRe3k3hSi7h50g4hGMgaqF7upyW+w
OGFJg9Pzpi5ndoC2MppHM6WhpFQur4gfwY8dWqxsbVh6G+G1nIxCy8JVW9kz30hDZJMBCYH/Z6vP
6ntVjtyVYobezelwZSfWHDBHVxdKKrpyJgO11egvW2hcsHTbk0sDqDDVV6TQ3tEYaLNADPOPkSHr
i2Ryy6MTceOYOU77UjftdeWV/QOjUI73w5TsvaUDxKRSXhUZ/SE34ZjMUHL+5fGVztvEm+UTiPLP
/ejKb+SpcNzW7YjEdQumxRAzobb4S0ttKZyXf/VoLdl0HgKyel0x9ztOYiBJe/lUx2Wv0bNs2JDG
JJ9teMY7yBUpnn5mdtuuT+iMLIfXZNQ5wMejpW70subJVCmlyOteLMuoBFUZmdNlhqqMUKt6oK8j
8KnTWOXqcne6nCMoT2NPd+31NQQXSiERlSDIxk6bPlkRHQ/RTOrmteMD7jtfvGj52gElQ94hp2Do
MUmQWxRUOXPOYxc6CDSW9oAWadwGZNnumoYjt35p5M0JKK1M0hAa4vhX7ZHdN/O5letxiihGhoXh
50V0r3Q5ZrdKIoEibCWD0o6rByUrzCTVgZkBcMMjjgY9J+aSK2Jub9LEmfkEEVXQggvJTaW1oxOi
2BFs5Ke8gtCsjGFbAo1bgySFQ5fB0aLg0WsaXwxVmfnQEYTio77OAnb8ym4H9R1mKlGjejvdl/Av
VqFZ5wdtaa7gaGNZ40RP0svSqVkif1Ye2w35a3PC31SYNHvUzBInDH7+tX/zumGPGb3bsootghq1
n7o+L+Wyq/H48oJiSTUIrP55NYkI20mL1hCI+/BWN/LyKCsz22BR8Y5e26ivlUEPjTgfemrId8vj
gKXkurc4aZGW0bK4a2bzA89a9TxGbHi1rvzj4LLOVkPMLYxtIpd1YIJ4+7POwC9X0MpxKM9bMkOO
y/us6mUZxrjUkAOc05H0E5eaN6v542zo02WCnOYuXrre1EjLLsAB7dnweCWsuWt+dIpgkdgIo2uX
QN2dUS/vDwQTkCT0IXOHywmX7tdreev5dEhBvmS3xdDTRSJmceMgB7t73RuMlhZw50XxtcuST9+J
Jmqv2da1G2k2W8Xge0flUxKpKTPvBjjwa78AduYQn3ywOA6vYyc17qQDpCiB5H/waRAfplwvj8Am
y6NtUsQWyzOIKRGeGkSPclfPFcX5YLCakYP3MA2UyTKjP6dXuXlHNDGLLevYVxBV8gkLDbEzDBjX
ry3BvqVp6cF5uojKeIDCTwnSsJrINcecbLcEOe9UNVIotRx2Cj5s4BKCLmiV81FMel8956ZGg3qg
ZyySkKNCS+EsoL9uTJrLWzZ7Xp7XZXZ0uRt0jsitrazokVP9RBaiWSznCSJ8L8ZajJ9rmjb30qVq
1+aBlkXf9NxMneUt7vmOMiL2HnWnl5zxBO+apoe340C/zMzHIjmUlq0uBnjnL+6yVGLYMrd1JrJr
cJ4QQJ3EpusF5E8on/0hpmXCN1nTncaUsaT2GTiNlNv9dJcs1pZ/OomhGR9u4nMIIQ1HfoMZRcmh
mv/D3nktx41k3fqJ0AGTcLcoX0UWPUXqBkE5eJdwCTz9+VDqiZGo/qXocz0xERNSSyKqgETm3msv
M+eHtOQlS+okvsHp7+Mw2Nw1Arutg+nFvCpDxj3ocp1uaBibF6qSVAS9IrwmwDLEp27p7eRMTg6b
7EhI1nNVhVSz0zCth54HPnnoZzITSP3y28uLORUpR4xGhuVne+RMrTlUDuXcqVvsKadtEacJcV0V
L3RChRu5NpsMs8boBlEVFIvZTubr2pnpyEZ3wik2+9aLuXJIDqOBvQDFLtGIAqvL+3GpAibV0JIR
utrvABL4xiMB1CkGE554JQctxrmDwroDUNn0NvExBA303rELu795jv8bVf5pVAk/nQ7xN6PK5DOc
+Lfyp1Hl93/096jSIyYFOiqLF3cS5osOdIK/R5W+/pdg9uKjq7WhPQiHidt/3Oa9v+CMM+wiTRRq
PmKi/7rNG3/hfImSbWGcoZPBXuFfuM2/V2BgZY9DtgBLYCgu4I6/a4gbRUp0k7fkgHCQdESURkWi
9tJeakSygaDqVfGEL1KaGdr4lCh0czQPcc2h6Nf2G/ajpWmA7KEqwbI2dWYkq0gxRXqKzCWRGmgh
A+gvW+ZyP9zp21/nkcsn+6ERJXmTD4xFA70T/AGa5J87KK/tSQSWszxRVKt7Iy61lT1yKE2Dq/Ni
T2H+B4qK5S3Uj58viXoWnp/N+enwNN/xFbQkx8Sxr6KT4/hX5G/hDpcPEP93cLqjhqFSozV7Q+rg
RYgKGrXqxeCKve/0Q7i1I/y0DqHLPDKYBzS/mIqGhHmYHbaOXpmA6VclqWpIkYzH3DQ6cj7Csjql
7aJFjggnGwIjC6UTNJK89pWNzwZnxFhyrzVnUPcECIMwGbP9hu9l1QZp43EpPw6HaCPdMC3Wo40p
OmJ9rfVWDk+kWRVd2/db2IETodhMBCVjO0yjrNzGQJYZz4ROAyF0h6Oj9KoMm8komaINxfMYbYzl
k+uxyBkYxJH5aFAekj7ttnw33KSaVy3GSzZyRj6GwmpZYVNs1q/mMGJ/5BBHGN+ouOAT+ZNtHSZC
rNWTZMQMObjRgDTMNDZaCDAIOs7Qxl2N0OPJqV9MDuP42MmW9ReRorfSTJx87mdZcuBauak+1J5B
Krtldty5pMUeABC5UtVB1oxbVwPmEzOOU3TUQV4P/Gnd47S9wXuVgamaG5o4DTeieGl+WieocJwE
6wMDTxZXB/stHaPwuZ8c/3noiY2lsiBcdd2gioOoy4/W24abRDY4T8ERXde+xEwZ672Yya7bcB+t
fmUnS3RYQrA5U0Mb5ONhmise67AYc5wg6uXxcV4eibvcHB+fMJ4fNlsnv9EmgwFGp5FBhDL/OiYT
/U7zdEB7HDRI7AVh82ibEgNFICmdVFGMh/CTQwDjrqvBzDfMxqJ1Tlbxgg2r6REErDtrto+ZdpFi
/MhZ1TPcSjv7epoi51kbXOM8DnV+i5tn9GaO1GdksgtvlZil+1ZG2fChtgg9peFjycYj6NkwDp23
ilP0XasCt2gCb5Vj04+Ta/mswdXv7syEkNa1PbgsGwy3uL1jUjjyhuRSG+aXHWklTMW+sQzcAIUX
z9Y6ZUUS+1sonl1i1WL8NqVTX7/yyyL9VqtR3SeFTgHqwJZaVRFrpKX+6Vdx5RuPzPl5PHlGSnWg
hSPPlqY6J2kK5+9X7gwvFwF5vJRZXY3httUJ3X4hbF7dQ43gRdBmlxucmHBcdxl1xMlmmlUHoSJL
KBpSeuY0NNUtxjjNvseuT11ZGFtHeNL2XIV4zHRG09hq/gaqBveFKBD6mh6v0hPxcaZ8zOZZ057x
Tp+bq86UmrydFHOCbT5ZbL9zMU7+UyL0IrsPhxTwCMi+WYWDZR1mEgSHYJ4K7qVkjpyQtzhS9vt+
xI2oQWv3Ye7BmxDsKlhCNlA9VpeFnCmNB4elLu+xMywvRScpHAM1ApmwmVfmY9JrTME9wracF5V7
vXmThhT3NGNGVn12rdE4x46Xkqu75EgGWhalCt/WSKYfpSEBZAIMTLsvVuh12QfJDmHgwB7Otryp
CF9yvEBFWuhv3ByX142ZwXANQM7SY9sQ3U4ZJ41zSg6v+uD1YZN9td3SNBvSe5oIC1Z9MM2bgvNn
bqjqwFQOYWkSlYnM19H1Q2xaswywRMACXUNdw1h9pr5PIu9cQoJ7sYc+XOxhH1xkWuPKKKr+CWKE
tgFRjcmzq9uV1Ufxwcr9EM4Dnm5BkcB/NSxjwsbfLew9NuDOompJGy35EMWib7eitp0yBciewpJN
pjrUtac/t0RFr6xC/6iVA7mBJcV5NpUYqsaj8vZ4KUaf8jZ0v6qIHAlSt8obvMOu+lE2ExlaUt1h
xBV9tK2h3BQcUmsmL9Y9UanlR0PExdYs9ShE312QHUI65K0fYWDr1hnOqhjA59dJHeVPZtq6gU9s
0XbWOlyuiA1bEYlMtG0x1jdDPhdXNoPYTU8nf8e2Xn9M/T5+GER+O7q6SneywdmvmTBg09Oq3A1E
4z5ErZM/ocVso60kzOkKtblBJnUzE8zrZ1s4PUkwYGyxNPou295gVY8cOvVLaRd1vE7nttx6iV59
iGEucWsxYCORxu7LlYMA81w7DNOiZCjwH3Xbb4kk+jIHe9+bi1QXy3vzjBmqK9YxadBYSE6UA+tW
msOpaYtq5+XNhCFPblWHxaV1G9nGXRpW9U6HZbnGUK5+oWGtR06pwTmUcAGGzVS4/bnpRPjg17Gz
09o5w90PEjbOMLMHxdNxzlrcNSc27GmPtmE6jJrhw1POxs3USsxRgRdXTT+l4BGt8zgkw/xF1/P0
5Hv+fJKl9P+U6QKN7l19gkiV/xlsRviavWcTN1VheYQH0Mx1tdxnJQwDfbQ4hIRGc8+grzqFvOV/
IIy+o59RiOHxAYETqhspL0iofy7ERDjHbjza/rGhRXuFAcLGUHcmNcbvC753bNHLdRjeIHin2iPb
7l31NcQQFFo/Co8iWyoMV5fs2QvKZ6uQDePfXwzGOUMiCmQog+/weYN3WIsoAo9ePvqbakFjCE7O
V1rS+5vfX+rXQhaqIEAhtbgO9fm9J0sT+W6NsziWigQXn8uly7fRN4ARd9WpXQj4//p6pDUidMf5
1IEa947+jeib1zYv7OOs4vD5+xFUEiCTrOyypRppEzzi/nA7l9v1c+XMl1u0GvAHeXjvi/WpiETn
y04cwdCorghuofhhQ+UELtWSXrqkdVkrrRj4ta6lHB+//9K/LlLPxuAPvciS5mK/1xJUpWh0lTMl
6PtkcaYDKFDG+Ccrjn+8CrRpH++HhY35btXkoTmWYdI6R+LYsdpLAH9c748yhX+6Cg2lh32PD8/1
/WvudJbZ2BrfhaG5t3YSEDMAvf+PZUI0mgWjlG5noZf+/FpnTdEAryCpMUPgScjtLIphgti5mcLO
OHe1GuY/tHS/7l/s6ewmfC3ExVz250uWyRBOY+6Io1aFzosBlHec9YFSpEcMtylBUM3AaWeWyO8X
x687Cxx034LJp6Px/+WNwNok0eca9/Cs5+0OK/bJziEOeU7BrH9/qX/4iiwOaPXU4Ggv3m+WLkwl
LlWY4G0LwlMY1WluO2hvggWTLR2cWlbN7y/6T98P+ZmH9Nj+B3ukgSmAFRM2d8wdsozKQliHXPfi
HY3OH9/0i6z951fdB51AtCNc3/V+fdNiT3o6+8lxli0QXWoUNoJmV8/v62GWZ0IxYZmFE2WyGqnr
Rmqt9jw0MGK2gqEczUVlvzGYaL8g7LKoOmciJW+9zKn/5MTx68bLmM5CD8eO5ADQLO/ZD2SAMrHH
BBoIK7ywuFASAuouCdhtgIkKSy31Ket//yQu2Xrv7w4mREj1fZjM3nu7oygHLwk5446ap1HrKs+i
f8BtFLaKNDgyyRhf1nuaGOemz5tXgM3ZWFuJr+6b1mxy7Ij7udlSJYH8Ma+L17//gP90T9gpL76X
PLv3Eii9gYNMRrR9LGaPolu3049GpFlHjLTKBKRU/xOM88vadIg55G0AymGJQrb7+SE0SbsU/di0
EzeNszgz0TSYmpJlqmq68d9/u3+6GLgRdmSYM/3q9+rNhP1FDSkPCn3/bVrCpmS2S5dj6zVd0u8v
9ss2zTfzFiWfjtqA7exdXVRkmlG3oT4R0mHTWEZJx8riRaRL/P2FzHfMBhPXB4LIKR5svhwOEO8W
MjEkiXJqd6SCkHF7q9PD9SvNazsk4iht21OdDiAhImIsFI9xQShd7Vpk+ubLMVg16j5OMnACbaRZ
WrUGo8rZlXKvaw5QFqiXtdUxUqM9bzKa40t2UFdCXSv+7UZ8sRnC6IFzDUuY96VQQihC7RZtezRn
mOkj7o8nZqPJLtKJwvz9TftloXMp1oDASxNI7xf/EQg+ZjcoBkYSv1yGMCnfH3cOf4OHV3VaAm3+
hB8up9cPrz7uo+yHJOjx/4aNcOXdUyrngoQFaYuj0yjxFceZ4ShF6D9fABHHxX143cy5/VQpZf7h
ADDfLxHBlZFyOSQu6yZUTnsxpvhhrxN52CUCy4WjAYe4mKH9eQ6mEhMMKMtERRB6n6CHZGI9VK3R
kpdc8QZaMkr2ZjcxKcYHe7rX+wIUcc4WvKbB7pTGopf8+jJ3kQUpzPAHjeTWJcC05CcR57X3iWhI
AS4Jf7qz03Z+RtTIcadxGOymTpIXMsipbgPmVerWHhXQWBtm4H4ZwFEYJM0QLTo4nBWu8cXO5Fo3
suJuBG0g+7rTdoowqVtM6jRil10yOkCxYfbqLoRT7PdTHSN91+6JVxOyvuoyAS/XzfH6WFdIPWmg
5+QIU8JYMUa1CfvqjbiB79w3WAyDfesDJG9rTsuKdwbfxBkiiZEbX0ZJjNJVqsGqWPmqXsBQ6JXx
7TApfu1qzVwdHMI+kC5KokT2GGjRFZXNzJ/Ojft38TlkIciLny91TVPzrsVlbiM1KVsotZmBEzaB
ClL52SHyNHVfE9cS3+JlkWPpHzVDd9daLQ/ErLF63VRGUWf31axzXsi+M5otlg7qPsOl8SpynCq7
d2uj/UIEEt8CIq09f7WcshfXsjEWKGrEmT6AMMA/5KvbbzbkJ/yvDF/4m8xMxdWwUEVBNGD0YuFI
kN3WqWG1rMFBQK66OQYI94rJsTaDFfITeycOjU9wdstDo9Jee1AEWc2rJps5tXy9FEA4cW615k05
DnZ3bxCW3a4zlkt8S78K78GYXAicmsaYbRhkS1QNg1BtNdclxAPHXExMZvgZx7IcaCRMd0zcKzGE
xniIoQqEnKvGkJwrmYNpeZh5zjuFYNQMSAQBZYx6XclHo7RlDnvDZoEhvcVSX0skZ8OlDgCzZ/VB
gwBqiJ0K3AyCGcQorMgVFt0EeKhvfjeHt5Cc1O13CM7Oez6MFSP6EalpvyVhHIebtm/Hev/9tXJM
9hbikqzD6KIoeitxXCI+xMZp0VBGnOxBe8HmzU6wjUvHZhU13jLTjXOb+2q2C2ZupW3/aUqQ0GxV
Ag7/fTSDN/FbaFtLIREJajuvcsVbYaQLEiuB54Ma16U9hCQQ+Mvx5zo9IGMMduVe2QSYzUGmJyrd
wobT21OBNGXeFbXGpCGfBDdWIGeztqlvRsldWzZ8EEMHOyHbz2yJKzAa9bFXrqVBrXbtLLv3KuzV
rm2VI4FK01IswX/J9NXTmGRsUq8xxd1k1KDA8URtjN2wMboF5zFjgLgi8goYfO0LpjkZb3BnuR8o
zDPyP23ZQRIN8mSo4amH4VyAzWu5nR5z2YLWEzg7GrAJytkDkkhFeCx0XQG1gZB3HgDZ3A/p+P3E
/9+c9A9zUsxQl1nY/z0nfU44Kcrk7cc56d//6L+STnPRZTr41eGbcmFn/j0n9ay/cKDhoF4MLmHC
Whys/9V0LsM4A49oDjfT0Bmh/p3KbTl/8dM417GvwXbEdJx/MyfFk+7d6Q1AA7KGAQ+9DYXxe7MU
b3Cw8poiY+95U5ljqoBlitTRSs3l1FwlowXlL/w4lRi2BAsH5Unvazz2dSY2SRz1Z6tyluiGwdry
mhkhEzlMDuHk1ycgkfyxKpdTlir50ITdYziECkeWvnnTYSFKiH3c4KcWdfjzZVy4ZH7mwWBq8ou9
zAirOPKviF2x30q9YY8l1cl+g9HNX1rwtOfOqbSvmYLckUGAVl8X/NBNj8T0jOe4cjeywGknUumJ
d7n2ds4Qlo+jJaIuDSKtF+e+o4ham3GFdSqe9F0AG3/Y1Avi7zYSz5IiacQa8EedDang8GWx9zHP
cpiSbTd43BaC3fYGZ+NVCstvBV0TcjCVCrZMHp7AW6PRiWZus0+imMtTtAwuMKoSaxv++YtM23Jj
G6FYa0zYVzkW18+XeqSoUHQeRNvDu6iL+jb0yZzcqRCwTleD9tpBSFr3rVJPsQ6Wj54hF4jOhsZ9
rttk6Fauo5jFzHIZ4qg01JtteBmXuLPozBuMwWm1NIQxj7JhY+1Jo5sDsoPq10spTU9pPH6fknyf
WVxmTD5x1/gCmaPx+L3kz+uFCAIxh9NTov0609WysbtdS9lj1UBxG9g4yxEV+3Q8THTYbS+1L57/
1BeXX34vPkJkMMx/+5K/N11Gp7Y1Ze5VvcCgJLpzOnB2h8+p8BY4rwe+6AaxQG1xRFmAyYL//H38
WHZUnpiJsZVKb8D13JeMnU3D5pFeiEYjMyvOyw57cSvu7LdaEV+6E1BCkwCZxnzyy4nPfEEwTMZA
nCdi5gtdaDxmI5lKEx3IEBPiGx9g5GSgMIpS2qxiCKkAL+UdkWfMNe2JWKa1p9xcrD3yG81zOOTL
/I38vOjQ1QsEFFVp9yVNK22VZDO/R7bGjyUAlNM7T1Oqq4qhSjsEzgVbxO+f6lE5y5f35o6523yZ
/UlIhMzflxJMOHhHKhXzWC4QjIOl6kpoeN9CWzf1W9TGDuISrsgMgmpn0GgUxtxgbTaDyf29TM9G
mXG4WsKmUBCjyXEpJRFZ+jRxCIuIXsJZgOqGwfyAW5ZiUJiktriLCGPcZHDkq0NiJbLdhE4PCNGY
eMIFkZXztaYCGlkc5s4H0aWT9nz5lDhe9dGewxgPOKp9PqyNcoPESNMyzuh3KYHzDAEqpMWRWjrD
Ln5+6MaMrpO6ceEb6Av2ire43p67yWeg7LTVaZIVv/enhPbb8yMqGBrHZJdVGgvCBwokInMpEF24
8nsSnY1pmzR1/m1miAfv1NG4VmmY6KAiW/NIdEcOUp2I21WMXutMrYgvhm/Y+SYJl7Mz3uujx4wY
N7BXi5VGmFTVo4oEG4KQRclJre6RRVTb3hTYJkHTQWu2Pn4zsN9XE7Xg2dHd8JT6k//Mw3TiNZoP
4z6Np46kOImQswPCD7duaqqHgVW8S0ev2M6WYa70IbLv+qRrP6cY6FFEcOg8536uHjxHoxI2JQvb
lCN2OhE34AoXAsIAEFQSNzhXgOQQ7nBMX9s+ePmKWwblFE8Pdz8ymPncIPWxiMWqPIs5+0hbabaZ
OERRKg5gKAu8seDuEpHCldPD8OKCxXgzGrbYiCEyo43W4ZOGxMfwF/1NfUBxbe2g/GHrLDkx7kqj
Lu8xI4JEOpCBSaIjoskndMLuVoPV+FW4hXUMZZfs08EzvuS2Oz97EWUZpGEkXY10kq9Wo8bH3ran
Q41x5GZKc4agifYkU03iDiXaNdw7iGS578ECMaixTEpq4oDLkf9GEqROqb8pI33+CiEEYRns5PYE
19nFkPgiPSsWFdqUpe0JaQ3SNHyZjUNP8Md1sSjX7IuILbwI2mAuUn2in5KL2g2Ta4Rv80UEp6Zm
OpaLMi5HImcUNOcbHWmPXGXe0BpXecZufjcLKz4Mur/rBkeRIEYgSwsr7nrs8YHPtD68LQfJbkK0
YpmQE3hvlEQqIsOOiPds52g39Il1VWfwup9COBbPY5zLh3wUt7E9NPewBqJgjFrjPgRKeCjdDhJh
Txl508Cq2oO/Y4AQxfpLBJmC8EXvcY5M50PfTuauInN0SXEGLeH9gBu5H2joePHHPWZgNEm1edvi
yR84zEHtTa7H+tVYzTmJbk2n37VxhZaAScMmTyUqhRQjwCAecITClVcv9XUcxuPHsFYFYmK0lulW
L/qemLomz4GA4K/SjDXVylN692iWGcUwEBhdFoqimz4VfVDAcTgMjsWqpin8qDjeT+j/+nNn6h9p
c5tFXjgRozeq2llBzeyuWqKX1wMDrYeJTNTTpFLjLjOc7tsglPw40eQ0b6rT8+EucWQYnTo508Hm
5KHUjXwxCSK7i2H8EsOXASxA1bkaOugF0IcxG3Cg8BJfdyMlaWktmjY0YW7xNe9GddXMSUr2+mTe
pUk3vHqJg2QPN7dbv/aJsuzHyA2yMi6aAJeh+uxqYXaN5tSEA9/r2p3IKhsZfj9uuF1uMAhHHWui
bj8mfSdWdlU/hX2tHzNdPncciZuY9m3dpvqrYUaHdEzbK22yxcuIerrgnZtoUMPWwFgyjk9tJKIb
y6v6696Vi+dyF2QuGfKxbvTsmlWtxNUYd4JvCOHVjIWVo1A2+47DTzs7gqWiJ/FVMRJWY+bGhzAV
7mIuVAQSAtQKYXe2dlBOro16YB2YpGvGysGfwPJD7BIFhJbS4QjfLiMdQqfN2rrzIuHceozdHiop
CJCV5VDxfeJulc3E77rdcF3JzIb9FD05egMHUGrJ2lhELVE52Vu/K4qHJK0GIjbBPqAXGMlamUts
YK0rLeg7B3PGqY3j2wL68Daz9OlRl3I4Ta2lf8AWlA3KiaprdiBETKolwbsr/Dur04ddXfZ0+8zI
65OFau0+tosco9KyHTd9VSakT46VcexF2t8RNq2vZegcPJSLV1WG94Le5iEW1QWSxD5+ScMiXOHT
6SGLxmz3aaj9JnBbhS1j01pHpy7wMNIj4hX92Ns6vcNzQEo5OgFxm/688tzekVtieG3ehKLLVrWy
m61g1Fud8tiHv0hPuqtH4T3XPl98qJV8CNPK3baqCVMoKMa499I2WTe5nwVeyAxTSfJ8Q2zVApnG
Yj1PUXvC5E9YhHBO/UlJUW1H01TWln+jrt1Cxd5q0c9+SZve+ebl8bhJkCCgZvC7/DOk7Ga/YEmb
fCmtamxag3yYwCAEjBWUAamzSbSmRsw9JCuv9/rrkdDDdYgJ32pivLImE9c8ZYinzzNUdOuJ8y27
hoJixQPKI1Xcpl0C+JvZ1X1fqMi5z8k2hWYIATAYoPuTLDeKT5lh6tHWd8qSF0inFsyADW8iDlkC
2NVVmbXtZuozX61SgPW7ljLg2szrmp0XT68Xt0AHjMwupcYS/mvUG9X9HI5pHRRRvAVdnq6ww7XP
TUk0JImVjbbuCT8+WlXenZTRTDuYkkQa2137GI/FsRmbU+3Nak0mTnNTYLrwGc8VfQeVVR4NyNc7
GXnPFGrj1m3lenCluEtJJwNhwBwDupYqovzIzAOwgBD2mXgXcMIU+UtZQYw3nfm+t3Q0vpjiRSwf
Mx8CxhJ5AK+LG2KF81XWS634PA2qvSWVfL7R4lkmm6hO7P6T19WPOGuUmRvIpBehucNiz9IOoXJ2
TWy595WRQ5zLVXxCBueS7lvqb93o19eKNOkg8VgLB+QgIc85nbKNBzbm3vumsPUPScGv5BhIeB63
sJSA7ZI8kEhk7Hr8MMeiWglLepF7C7+lueX0O3QFJ+if4oHejTlw4gGnFzTtzIkZrr8f2mYUS6HT
6tXenhammZ2klInIyKncf4AMbr8j5T8aEL3Hzy8XIuyAE4GBNNOinyFsT1LMN5Du9jk42Bt9KlzK
7gJB8RgYHSW4/dImKOrRC5/v31598edDhMuIZckMXOYJPwDoNaRLhBCqwlK0Nh9Jg/fWSZNMlBIQ
aiqlcVWnc6kHNbxR6j/MRYx3Ex5uMvRsU2dMbbiMqN9/d8zZcVwIZUX6dM1PH8YI4NbNGvOxTBHl
rIWxKJoGMTG5JlYA+pwse3qAMnLzfSTAIn9/N95NT/g8Fql0Phy3xSbvVxWwP/aTGdHMuFKKw2gB
P9hJbJIh4rZffGn8cYL9bnLHBQUaTwLwLBctIBzYn29/Hg8T8zzs4stC+lddzMgc/hjLQOtA+8hT
/hzn8MXP0eD1FgG+jhUSY49lXXGd2im0xwtxx2lKIW8KORg4kjhzfZSmAYk37kg+zyqqfiwPQ2p1
Rhlf9Ei3fFAc0c0PpqMBVzakee+Tvqe3wFLmrbKHsXtoIfi327kzjLFdlUxgxMeZJjLDcknRpUeg
sTR4EQ1otvBSC9eq8VdAhsc+UX4DNy4fMGSljeualr9PRkL9qhdCqSvkP662HJg6XTV2Onczjjjt
dvHNb3feMqCZ+IvyRlQ1yLsEflebFnbP6wUAKbBi+m5L+j948w/wpkmqFOvt/4Y3r5Oy/NpW3U/4
5t//6j86EHzpvMV2ALXH8tL8YFnnu3+Z7CyYxl2kHheJyH90IP5fGLpZCO2hvMFMcdnz/sY3hYXR
nU9UCqSVBRT9lzoQDNx4g34YTxIvCceHbBz4EItPsPFuEG+hoyxw6dZPpa5VcdPTTzjaGkFtiIGQ
oepNJiwawskaarlVS+O8cerO+qpUjnS2mJOSQnJqr9FYCb/CziKdP6g5F+LZ8Bker8fW+BR5ZvQE
JOCuksixPwzod69x3eluZ9wxw21SpaQ+VCTsXUcjf7iinfPrnZbGJCp1aXlyU8RwhbLvctlZn7QR
C5aT3jYKkyTH7K6GFI+eJysLe/eqnZsZ2XfujD0i0cLqv6QXbYrZKqj/lR5g87CdJ5w15qyd1pbU
rVXsWv0re+0Ilb7HzO06sxJkjI3EyH6b8WwfMG0qnJVlllWGF2mYPBkxNVgEvX9eySSFPQrIjcQW
D4MHR/TmoaVZ3Jkq/ZJDO9gkbrKY0TUJTfJgmrvUTB4nFHK3TopAY89fsa4xRgkLvLfQ+XXEU8hA
CrKCO0N7U5lQgaenxXgAAGEOhj/QhsKHYmtA9LaGh9nYG3af9t7Qc/t68KHbG12/9N2+33A0zH74
PBee+1C7dvgou8n0DjLsLG2dtrWdo+AUnGCuDNOXAQnaRiMYcJWBznMPaorpXpVHx6/yU1e76Hz6
ghh1Brch0pdpGk9d30XeSovqeOMmlE5NGYlE34UR5HMaROSwEjKc2Y34245zuYYbN8QEKjfp1pvC
cC+qwnypZwtR9txq86OfgwgGXTS6yV5oupczZyBh4ikil4KWuGeEqLQN+cp+2+6gfgNpHVCalmRa
prmdGG9Ri06OJ5cbgY1f/aZoxcpEN3ye7ZAuUA/LjeOXxgFqLtHnobMBechXWVaN6SqxMdkRVVOg
CvW7gJFqCz5FKCUx4baJFxWx4RjWeGRpae5jpjDjsc1D1Mtre/JIIR/nwE2qs2jmBoP+bIdYOTy6
WbktGbw/aVp8p3CkDCSX2Uaz6oJimF4NfZy3MKTDbThMD5CF20ODecMGMxeAm0LTD7Utsm1HU3v0
8YoNstZoN62GZTtnRnIUMOW29JDY7OTTfNAbXk3TyUGHJvNj2XmYXBk0yfSAQJ1kcW8r0IzuiF9m
emDo/EkyLD3KRESnBtBzPc8FeaaYRaAOWLWi7rdgvNwfDQetQitXUaP5WlDjR7KK4virjbYRtwN8
oyBXB06jIwEWEnAIS1D8LPopuiKWnLIE/8IdIvaHLtHawKgSg1mGHa6ETI1bPn16SumKJbqKrj6g
X+u/ApxMay+2uDm8bPumXvoZ5n9lNOMH2TSHcrQfGiu/z7zkajZCxu69jo3f/Jg43Q5o0z+60Xjf
+qhU58JcY+C0iTAgkhG5oN4gntqm2XmTuk5NjVBru1dbWefdZghnPH5D8exYqJLIeW/XRpF/zQWq
cLMcnTVstv4h0bBxbwxj5XeoZPEuYRNMvGtRFzJIC6KkKewMkA5T3Ol4rG3olku0H8PI2qpxleZ5
ODvGuu1Ki/1+78n88+ziTguHwT86bJfHXiIIINszPdMNpihA8cvlrTDuori5G2jINY8vNVflWXki
fcuX3SzrQ7cG6G21U12b4j4xG+dY1V284oExsQV/enWb+EXXQM1RTX2L6Q/2kdvCwEiaPMDtgtAQ
dBnHfkqsTcu2fgcySY09O/4hS9370JF349DpW7YJ71Sl2ujSQDrdB/aVfm0Obki3ZHXpOTX7YdV0
WbfTeVBbvWp6CPt2fG8p5V9LpSPe0rq1SItX3BrMFYqDm0kVW2LeYwYzdI9z2d63TsnuEi+uMnq6
xfXJ4uNV4i0WCQ4hMadDQyBrZpDfmXaPIOHO1gSFfBiz8brWGrlSRpc+odp7svE9CXJteGtn/8WJ
sB7rbYd13NfYL+YgbOa4Rd19qJx055tpyF1sxNk0omY3evJzaU/2xpZzu9c787EmvZAFnEHULuJ8
ONnNqJ9jw7rvQbHzNn52MhPDCTxxdACAgJ1242j+R+FTMDI3WGXLXlpr3q3XWrs2SdW94tEVQT0Q
U8Q26n3Mwsh4yUkwX0vL5VXTBLiZO1y707AZmuzoema3Bak0mSWmHtOJOkEV5FfxKptyb5erfj7E
VbenbD0OSZjtEEYnq8jXapQY2pbDLF/Noe8G3ojrRFCJXnym1+oW/wLNO0+zLu7iYtHuu7K5xhxM
W03jUG2oguNPxCiK1Wj2VyqhZS/H/MkQw77E3s0fZg7W1Pc3JhjUAM2zSdzi86BKomSnl9TNQCf5
PuiiqmyFJ3tyGiZcSmRhbAV2QeYqsu35rHBSwHYlbOp1D8nkZCd2tJ00awraPrJew6qv7yHHZWWg
oT2paZLZmYbCKm8jbWgxdZO4a3ScazU2o/upstO1YRj1tvx/7J3ZbuRImqWfiAkadwKDuSB9l1yu
NUKKG0JShEiacSeN29PP51mV3ZVZjappoG8GmIsCKpARWtzp5G/nP+c7utG3FhgMQmwW3gxtQsmy
jZfMmK6PZ9g6NQKbEbh3k0mbCFm06mKmzThvnKVwoMAtq9SPlTSCY9ir9TSP9oszIxYgfBnpISmJ
frHsnWy2fIWgIMlxakAlPGetLRuJz9IY70Xm5/HgTMNj71b3U2UY+GOMh3LJ9EUB3e47u9vp2atP
EBm/Bz2VA3OuTpZBtg9f5rix0A1+cHt1WD4sybtcRbcl5tmxNDCsLdpdtvdI3kdBwJGkVA6/bD++
hSm9G5UZGOeUMCai1jBFFAcEXx6dcRtNSilyM7t4rwN/efIng5ycDt5s5TYxOFX/G4SAfGMknhlb
fiafYYmYxMXwhoY+IHTbnuvN7Fw/RLxhMoKEB8eAeA+fa368FIPGtpQ/m059LKaBihFW43e7H7cm
QaM7MvvuZqHqgF1TI2Dh5PRo4fnpnKgxu+KmX9catoN2mBGq9MzO6TCoRMUwicjBI9k9kv1qIQwF
mX4AOxkcVt9rvxtreKiHZX4ekWp3IszDPA5B3N0CXf3ZquCTu3Oxa0lkb7Co6JdcihuvssN9E3YL
2woj37J95QGBdwjZEiRG5lq4y4xaWgTJKDSiKrO9laJn/zT0y23pTOEBDXMGKNd+FilttHoucnBr
KLhP3CB78rDaLgJ0A/YNe6dKiY2VjuLh1RvVW0sy4yb10GELZsFv5tTZC9CZIiCz5Sz2U5nZ4gO/
mPfBKhCs4jqktPtlLYCCgoFB85pbNIES5YT25pTjyderAdfC3FS2dUk4qNh8bqsOEDHonk3J5BFn
7DzTLC4Tge3yptOTv2OBmD6hBGLVOzNoxSXUmy5cj541/cSlj44F3GBTEgfYasAWZO9qK1pnN4x4
SO55106udIYoxKizKWpEtdnRP8bBGWJrbXRUgWneuEWdRF3S8vxTNWjlCjJFgsuAGG9xsNGIo6yT
46kyp23S2XcykzYpSK/bF40XYK8oSUkP2OmVH5KizXbF2HaP0PidvSk+dJExMBH3ovg8ecFUV0ZF
izBqOPYG0YSeLbeLglEmZFOWauu3tF9UXHclW25WoZa4LpabOHfGDfHJltsJHAvy4Wwk2UoGq8p+
TCFt2Az4LMV4icE4vcw1uENKmLEx5OXN5OXLhrZFMsIzoyHRXdhjqd/wTCzqY107jyHZuT3Ivc+i
0i+EBuH5euvDUHJOsQYXWAQxb7iHw6ZxlgzTgNudjW4eoY8Y1jcyBcgHRVm+zEOPPwzcCMQcw0G1
70Bz1UTfMvIikSVrjIPl+lK2DYFPYqhxXif5T9WJjZj99WElm76dCy9aTEq7vDlIXnxR3LYZFpDO
CYdYt9UXwy8kkKzfCrnWcWYoi7d0JMndZ5Rl6PIFfTrfFCwcdq1ThVvHYdix2sCNFkMWZxjD19Yk
Ve5C023vvCD5MPuO7ie62/fZpOaHdiHpHfaeiJfCZ+oRTXgxG3lXzYu+s8w6LuuWvvUe30nmmMud
BYzWoIqVRsjajv1xJF8U+tMtoZafNecNoJxvVrC+p42390WvbznmLrwYmCyK9ZgEatwSut0X2ZcR
tHSOImbeil42h1Z193hA4J5m3B6zNojJZpm7puF4S1bY3oO43lt4UDDjyRtIfjxApXkyVfACjoPC
inx9n339mej0o64V109tP+jh7NfJSz2uAzySKv1hGPDANKAZiCdrnNr+7RoGr0FTb7owrPeKh2Nk
pQGsZzgykVGZ4tZxmgfW2UtssJ2KB71C4VTQ2O5UUk+MZ8Y9CMoxQHGaVx4JMuHX5UnQkqxqst0S
0K7ZcQX/WLrslw17NLKTaYky22KpMDmAZQH/lG9FLalNy3NRUg1q0Uk013bBgFd3PlagrnqYSI0f
RmNuY9jPai9zI+3ixoKFFtcKgQ4LDClkvJ0ccpr2ZdJBgY8zG49M1eoY+lm1d8LK2TXLmt5MpvZ2
iJbPS7eycKnDSxhoec++Vny5ea9v1iz3To0ddOzHFnXSsFp3Lmr9s1MtlNp01jtneHlWlcMBPzUv
65qOAGzq9NbGkBhrAB1nHLEgVdd53ts1mD05cloaAXPvBkzbmKxSBoCKSGtlO5hlWHqXLfv6vB/S
DdqGgXvfhJ9NrbPXSHtrZUVy8aAgUJWxfAAwZl9v+TAJCl4xhtpzpWmE6uRydDsau7tpvGNXw1jR
Z+TsVfgD5D4ro8An1l5mMAcat2IM6tbNpPjyfTjhluSQ5c2Me5z6d1RzUHI2WzEWcbnLAC8fmRuP
flkBoijKcXet2thyN194691qW8DDllTgcZgKHrU0nD1HYRQXe5ZvowrDK1HNVGce1TyFWNIDMe/D
G5qAgqihp3BjJb4bUU0fGzh6I/TR9sZfehOMW5EfMDWIuGNZEhGUNjH7tMOpr+2vdoUyTcoUZ1j2
aq35neDuvp0Bwd3LjrexVvhFQgUhvigm1HJDRF6dDxsFruJmcuR9bpHdVnV5Tj3/Wx2E/Z75uqU7
i8sfL9euEuY+ndA7isHlLEML3xXMypcil06ue/i11g1B6eG8YE+OuiXBwHu1YrScsyy7ikugTNE0
oBonYJ+APcWgE7gru2ZyyOgI28LkchlalhMeqCTWV1irqQfuka7oWNqOH6MvP3LfpXi2vQeANx9z
Vv0bjpA33KK/UWNTwT2etxy1uJIxMcfD2E9YoHLzbhXa2gfzhIyy8tDF0gqUQjwu0jgGUm/X0VMx
TNYq5KCzVt9bx0A2mdg27NgKP3PvfLSWdOE3Goet8iZOXsEUpx3HwcEwqTOB84UisBFJPp0yXJaR
61Qf1VCHDzLF28I0u2dnlrFLttcXFi33/hpCKL+uCu3e3A093aRO10kqeGoQnB4YOJoUfPlcJtmv
QLR3/coWMfDeMdJg+n0fRLnXQ/DVjUvDMTfHEyJWGfdluGllFQvZyM3ajl/NQHtlYagfWWtk2/bq
bO4bI1ZWjcdkDdBKVhmmm6pCC8jEytgiE0qn5H2XcYOOe915MxQDx7/gTrNOBjM9lr2UUvNp5FA+
tmzje82THJ4HVFyzabdVP1fdJhv8aGo9NqbiBnhU7LHyYxBThd6h4hAwLLQbqVX4LU/opdW3+J66
vQNKO4x8z+mOedHi7+auNkR1Lzq3ZDRuM5AFTOQDdkiv7HdlwDJi1xlq6jBlZUhtbPT5FJatpfOd
dELRwlTkNXKTBs0BeJ55qyH8fPSYMtVAy0PYo1j8bWv0P63X73/V1+KV/n9dv/AnwwX3uWz433/+
Y/+3P6e/6mtfy5/+sP29u+VB/+qWx1+9Lvinf2t/v/7N/9v/+PcGmH+rxLvmv1Hie1wEfU4L5j96
jfEtXv/dH1o8dCWTtZUgCQNb6U9MJuhK8Aa5eFlA/WEy5v/+YSo2fwO65At6Xdj1elh0/zum4n9a
aLpXrd0R1Gteo9F/bcvT5hBkw5ilxCOq9Wxeecq2vMJynCIkDISlqPuc9dh+NoISjH9YUPwXy1SW
C3/W+0nRuyEGVUC+th0SDL3uA/5hoYkU3bqKHvJjKWmY8FN4kcAA+VyuJVlid4CgN7T4ayNQRDwE
2b0r3CvXDpKac+zLCk2dYRgaI4q9ors5CsVCZkMlFhy5HGKbvxjkyLAvrxbGpVyvN0nuL5rPZWNt
bfhG59CHh8pPyQ12yag5vfu9qgJQNmbCNgdU22V2CMiI9Nsj1Bsf9jtkuGCayFpc+Za/N2L4BAdP
tXu1dXoViEN+TCizyVQ173ZYrTvC90DgNGmLBRYDD5vMYZ7HQdmkunsSyaqNU8CEJ5hPeZd+jqmd
ersp9JmszTFJ822p2XTymMsM9y0zw6XGyM3In93Ug02uKZqYp6f71vJpRfPTYErv1tDAaFLTYZ8+
TqnpEZ9TZetQ7lua3Ml7NLONkZm2exTO9W+mADP917lTTbVHNiUsSJUFpXxLxl0zET20HjEFqx3E
9DyIlD1/6SU43wFrpR8l3pLL6C/1toYViTrtL20ToVUFrysuNYM78jRvSfPQY+Ctm4E/XYNNQOxk
O975jKx9rMzUPhTExzgDWPVmSpLxtaPiPAiLfdmVJvD3gJRMuGu6MZAUEXo865hIWqdt7lvQNVww
jQ+gXOd1bCxh8jB6C27zxlWv+F1U5BdVFttQheIhV+4vo5rlIwHFOYIF2G6q0Ah3Gfai4wAu+U26
yDYgQOtN7nfVMQ+r4eQkxQETevGYFVI9jDOUkcg3Uh9rVEutyuQxfFTHOVyeQWxS7W2EYf/hXrmY
JazbzcwJ/ahSr9ya01DeEEfuqX9xEGDXvGAax0vZGiLbY9gNPz26B7BSJJ28x/Tbvqcjj34GkMXE
IRvwcBqkME7QZPlXCy68B/ymy36iNeObbRXP0misNw+idRoDYf7MLU988wI+VA6e+h3jBBtmjtUI
5DNwXHv6lSR98L6iXG7DpjYXGlvS4R15cStX0joim5xINdPN6GTuBXNvsbPHFQualybYEcj5HGEb
eWcqGcTbbOngTvgVDRHWNBxDqaCDOkvICaPun3vgZRd7cuuDskv7hiqX+Q4oEDu1tHEfmiYTd7CG
5Sv2G/nGO1rs51nbNxpD4gHTeXOnaMH8bNLBS+KkS/1T3tnrfesOI4cqsus4H8QYJU3gM9EM2GQM
LEQ7AwPrOVg6+wF/vkeZBB+JQzF3CauDIM9PFQffC46l/nbs7Pw7CTXwkPYymedGjfl5yFT7rJWe
njCCNScAVNXWoPboDTVVfutGb7gZ3Jp2PYRyeTJXf7V2oszKe9cMkyM9mtN+WM2UyGMY7Lp2dL/c
sWv35DWX77OEL4oQeqxUU4JCTs4YTAA568yMpt/XZ1V6tMLmZnHNBUnVZjB29E9dTSSwVFUcTILE
UeVyWhOih3+eV/7OykxqNGev/YDWrm/Mdsp3hbPksVc504OsOfZmFHIf6k7bDxAPlldd5+sncLbx
gRckucyE7L6zARDx6Ezlhs/JsCG2Iam8cOS+caTXYtKv1Qtd0AWxR8GnxbiWIPuq+Qnuf9ivEPZ7
FgamvZ29mdBD2Q33viB8jjK6XAuOxgwarWt9rVbGCscERcelzEEKweMZuu54zpLyvkGnvLNqK32l
WK3Yr27Y7gCDk+6CCWqevVyZ53BQ4Z3B5u5hmUfNg6JfgONhbNrjqL4UrW5oPOCDCnkjxQeHwFzG
yTQwNJNwPDU1RxpAK3nMi1GddYtU5NvcalBbwdqR57JaRzx5C8u12ByMJO5bb/kEKzZzVjWuaQTd
S3nol779YFPJUk+qE88SOA5tbf2QHNmPRe8SnKdt/VmQJXlM/cG/I9aKkAZSnLjOotqXvtIhUrO/
nkcG0/em1qyIMXU8FnmNmsinx7+tpmn5CSlbLjH5S/dQVe50MtJy3Ce9GO/GobNPVmFdUUZt+21y
3f5+djl/LBRn7O18zh54sjVvXqhrrGGV/7WQo2TRMvR47MP0J+qHvDJb0fGGhtb1QGOu7fGsCnNA
aOTnjEOj56QglJwiPJDje1OikQGNA9lHm4FB/C1z2m+02A/b2gc7FbhljjfSk+qrcoh20g/bfg9S
jCpbp07LDztNg33VzslZiyS4GYPKgFq+dscsDJDEFQzexeL5hpo3FHcD3qiLDMr+rMQybHXQI0zX
xnBOBiJ80lFo5YXPSXas9PeAIrnIatCVWR3SnRX19qQfmrQPbleccr9MWxc6CnXO4zrkNb4ppsF4
zjLXe2vzmluPYrnDzG1IurSmocHWtSaUjZtBDeC3su8oUq64LYFsVUGxiEgmbrD3BwQ6rokJM6MV
GiAORVbHc+0H7wryxs7M7XeSAfXZSCv3KUAIj4Q527fTEDrcBhfrnlywiW+nOl/fQKBGttivg47H
pcqvPWLWWeNDPaYWaYAuq+r7OrXsFz8Yxi1+HSTktnb3hicRMUOysMSsLUhYWF+N2m6gHJr9A/VE
zueQdQW26qFZN3oawyeiN+wk2t7amVknnt0E2yhn1ca5V0kLttYa5/ChSGkjIhFfx5Np3wZJN/G2
l46JiwJ59mpoDgcr2BKlbX9lOseAbCzI0MnQ+gcWX03cF/0SV8nS3zdr0dyrpWkP1I1Yh5mioxhE
rRFP0xqu+0R0/ndmAet5tkO5AKmjjSAoDf1WUqS3S1Tz6raFvzUkhl4LxDu/nzkwd0zUDlvc8tJI
DjKDB9wZR6+yetiRSLZ4oQlHf+ZNh0u7p6DlZOl5g/d6ulmQsLg0HY5TUrn3CbPpTuQ8rDU8aMlW
u/Plxm5X5g+cECTqUt1y6O6+0c1ZXsANOk2csKra87yrdqOjaYUZOJYZufAPFvmJiy/8maeCn78x
oHmozRIxvV2Sg25kwgZb0W3li06oo1ukIubKhnlWN3gUOmeWbuQTUtkSMgLGxlHv0eu6LJpWezp6
5gKqDeQwnxMYDFwcoY+sumaon8raK5PbCsYbhumZSbWK8NZPT6NZpC+mqosXx2IGdDAr4EJP2vbS
qCG8WZXHtJK6yZGOKDwsKYxVfBY1TzDk6uSY6xGlCFKcPMkBewerPJFrRsywPnDuTPtfdin9Hj+y
AhSCTYFui9tkpDWE5EJ3cgs2x5BA7TMC7XIXtojAocpJRKTtfMqqad2mDP6vKwq7dLzn1KMLQlv5
HdgUwW/pnErlix+0P1poLDRKtwlWisgvAfeso3VcDB/395TZm1bDfG7s9Z3wCrKJ8RA0iIlhNnqb
AuYnMjqboXqopr1JBW6sqAecOSLc5IUoiT2kL7wt9o72RyfmlKw3NtGwyChyOOa5fe5d5030LETn
caC6Salio1SADlkWvDDlxB6iRJrAm9VEhKGrExtzm91fsMswuZ9YeFyyxbG+2R00PnISdRmbXtXt
BBipeDVmQKFK25u1JgNROyU8p3mKyCGQbTGsGdETQ0QZBvswcf3L7GWYx72KKDmX37tBMTlo0uQZ
zKp3aIxkOSGem+esJJc4ppMTk3LhMddn+TFvfKhy/bDGQEPceHH0FDX1kN5VIEJ3oZLLxTX55WRQ
bPN1KDknNN2AEInD418fDf/5WOpZGD7YGYIFpgj4L07XLEG6yHWQH2XZc6wzZgr5ujXgLu2S23xy
zIoTKbNUxSMbvva//ub/5PPkNO6ZlnXFTtne7/jlfzyV4iJjC7M2+VHMVDCusgMznhfZJVChevzX
3+qfjMsu55mA/11Pv//MXcO9Kz34s3yrxqJ5ic/IAu5ySetf//r7/FPzMGZh2/Gda5e0SVHIX827
ql4WXDB+etQNmjV8JOfo6d/rEPPhnvgsFJoxzNjIL0753vhEwLirQLE3kux6uGanV21//5H+p5Wh
c/7Z1X39NfxZC/pd3/lPoej/Lf3o3zk5e6Se7q/i0fUf/SEehb+R6g4d37rCvLl8/6B5u7/RJwWx
myvpP6Qjx/zNw0vABU3jENf09ev8ISV5v5lXS7fPXzCxUhMo/0M3+7t8g+T2Nx3tv5BzeNj+Wc6B
KsPzgwuZbS7MQvev6LlOeGQF2hRosGuypSyK1BuHyIFHi4DrOeObmZY+jF/iHXmzVHdXx2XUBniS
4yrUciv83HySRHaXbWfN6pIx5KjIM4CYhn63n8PcPg2VFtjU8qbduAHoKq7N0GGJAJt5t2RudkNq
t741U6ymUW0Vtw3yxb1f28GemE22T/zE3zuKSTJOS4PaKG4n+zXPuiPWUu9MXg6pfu0zI7Y1aJiI
MJR148/19ENRM8ZzC6JsbFM0tpfGdfNE6eFj3TrOFOXGNB+1+aHUWr9jKwnOq7IT5rM5GHgEA12Z
rslARe7iMhGtB9fihYUZXyuKjvgmnIPqLONz4uH65Td5eLFlFRzrpOx+pbOVtBTbNOI+zxp9LWDo
Hh2C8yepfBM+C3dmSoOl9UuaNQ4HF6c3bjWbPTzk5LvUrNKbvlmNT065HfNeU0MYWdvquOTt64j4
QR/WlSacBeNL1gzDUxgO1JpQQtx9XDHNr6jKiuO7y84STUFqrFAhhLCgguEGiSeyzJxp3Q2Vz+ZX
dO8tCBqN8DB9507LVkJXxUeRD8MhXPNhJzgFfa6mLm5zs7sYa+qeVDdghE/W9YY63DGuXL/f+VTd
WhuComybzUVbHe9nql5xTWDI4lXSfDWiLEhZdnFDMiKJu7r0+EXnkCWNSPStyF3jIF0z2xORuvIN
nOy7GnKejyhzNitg2nm3JQc8gZEE/BaeK1vB5eXaw/LokKNzwrWn1MW0VbQIAOrZisRXpJg846mv
MoYHm4EKaPX0lWMw45E/XxllVQHnpZFZdZ977hw5rJNv065eN9QEaWK9QXluBkPeWoYtOMeVE74m
lAT2HEyh6bcE+cDjVJI6H0RknQblxWVvXLBJr6EoH9ZmJenN0pA9XlCJO2C74UOaLFk8BcaWFkaM
Icu48Tr3Li/C8ZPaI3U0O+xHk8T0uRl7veD1yOabdcUtCEplqMjuyuSVctvUOOHsbOU2rHzxEx9Z
r6PMnPTjSB1Hsh0XJd4G5FKWglWrH4Su2h8d9KA4bCbxrjALsfJchuVawF0EBwq0JvJnARNhbi09
OW4bLSAZqC+JdCLsb/ZoZjctCPcPFsYmTXKQVtLY75B7mrQKfkjf9M/KnRcTZU2FzysuN7xfmJWv
xTvFWGw4ztWUvlblO6yc8AXh98Mwp2bjNZ19FtpbfrlNh0W6F6KugD0k1atMWVHFRUenNG9W1b0N
PhYBUp6yOQZJPVBJPDLvDujXt9d+0g27owf0xxAZI+fzzBaH1DVP0W0AyClm5crJcNQ9lqMm3zg4
KLfrNNCDVwv/5Jo9mHQ7kwGvA+JJrTV3NKw0fkwtLEExyokerdFw93VuqnljhENCDtvvzDdLZbAh
HG6mo2U29L9WZS45XzbFMV3s9g4zFcCosLaHxy7IHV5Yv5TfSVi3tOoKnJLczBJ9TFKqLCl0mZof
iLQN6XnIbIfWhGQLdm7pLw5cj8/a9TGL9kKOnD8Xg5vLSocS6XvSd6HjjDuDvugf3rRMv1qigW+L
U4mzzQGKDNTUE5K3gSgkcZjYLfNsmKgNvTIlBpcpgYBtTFYszOYpVX2zYZSaMAp2gBggNG+8yj85
zUJreFWh+FJQyWiaJ0epuG3Wwmn3s1k+c1jW+75j8s7ZaOB9gUjiA/peKkyvo7dtzXn9udrjXG5H
QeNsbWuk1jobQeybgbzMpihGfeMUrVcNGH2nJv++Gin78YWhXJmvwUIc2MLow2ZgoFhx6eUlmZEI
rVB6FyHBQayi6B49+rEfPeGn99wWZ8ZxtR4Zpb+x56weW4B8j1r0iRWZuUy+TbBV6L/ENB5VaKIn
0vPqW1B5103yxMcqyJvq3tSEH6mZQBxJS8p0cuXAP8OMi0cDCx3+bG7bPO3iuVzyO22FGjOb33IW
7cvyToYmP66njJ3oSSlFPWgzPuoskCLR9d4tjH3vgr3bOrtuleACWIfkySHMdpS5mp7ZBQZgsEa2
q/ZqLJfKSHW5H4y2hl62JHch7aNPOJb9Y8ov/omxcz1OS+dC5mhp/Ura9QeH47mO19ZYD6koFtaN
C5YcfP/bdqBdWeEfGjc6F+uNNaz+McvRQ8pJ3reFhoveWvYlqTH+c5NVFM+sydX1ap27uU5rqqoc
qqcDXd+noO/319fzuatncUuNEsq0Y/h7SQPURalxxBBhTUQzwjX7mQw0BOQz2/2oa2faQlwqsk4L
muaDpbppD7YhPI5C99+6pKYUTbjjgc+TtxAqqDsMTj4+1H6iRihal8XcEP7IcEPYYfsw2WbJkkPa
VHCzqqN4NafrqS2cC06F5Lz64XzseTDCurKmO1qCPs06Dz9Fb1t1RLi0faWyPfthTomipNto9iAZ
DaqERm41XH4ZD2mnsN2Yvmx/l49SgZVhBCGAO23UILw3q86Di7VATRiy600TVrOV71cwNuu26yyr
fqqW8JViBOD0Y0YoEQh5q0VsVoGVIb9O4VtOMv0JPmHf3nsdC82D7VPrEK2ep6iWldBwbi0PPxDm
QwHRh/aKLKfeqAp55WtrXZ66Nt3MkJKWnZ15/q4JPT/OIOknsUynh1VYeOiHruhLqqOM7NVtbDd/
tzw+4jE0A9PddhPJCGyd3nWNfRZi5vi8r1OVm/rEJWt1uIrHCn3gvU3WN8be+Tu2/+pTjrP1LSRT
8izatDnRMvHcVv6ypQy0PPpt38S+HmFo1POjV6xv3AC/qFp9l4P35utJf0AjZ4Jw6AWPele/+aEh
D54fFPetKLaTUxq3vDmgcDrKFyuYeV/26hIjH5pWIXLj5gQer/Pi0HEef7DdSS0xVtCsjZoOU+tz
4OluW67W+pAhYoHYrye3NP52QP7/p6d/u333AwBb/yIHV1fDe/WXFNzv/+bvhyfW7r9BdfLwIfmm
STISytbfz0+ckn4ziXmaFB4JE9WIo9J/puAAfPGfyL1iS0WT+I9TlOP8BnqMZiVOV67rEUb975yi
iJT+5RRFEZMn0B1s4q0A5/9K+WpwJ1kJw9zFx+XHkGKUmMCgorqx23pqOfh0t1TYjVK6vq79I+fU
Koy4wFDxs0/IX7D/LS3q28ysnSmvb3EasTjwPtfOIn1U5YGDFbdZbmu8hcX3fHXa27pfzZ/STmcq
kMEM6cikq2K5DkGjvc8Nr34hoeNbx74Nx/GEFbibzh0a0zYDwcjYhBuO9JVHDThCRwxtYojwe92a
emkgNTUBXeiyWq0NDpkfI5M8d+kM39M4s9BaZCB+kavFAkM639mFAZLDlt05xirHy/IzlJnpiEzv
H4xOd8exLonqs+SaH8bW2FtSW5vaCr9P1MXuM6MYsM2m9fWnwhv/fXa5HWBxxrdPE0oWCpaZV4M6
KLFJiWQg2l9I1lSgaF0esRViBzJt1yO7JThyIt55XmVz1Ry9rNw9OXLt7/tmkt7NJHz3k1eE9so+
lEn3vHrNeqS3pAdI4nfprLZXXkrjTDR077ugyYqtNVvTmRo4atiLq2OPc3m1I15RjiKenCwb7INk
RwMOlxBLM2r/hvU5LQ1rLJheAc9Qd64lj/gw7SiKOIqSqMnI1oJErgdYkCNl8Dup0/ebTWOhS462
JR77nhIkzMHG/JOpvpFfIR7xr4Wa68m+s6reLcWTj+N6xw3/ilQF5um/NiBYrlu7cLyloV6dPMIK
vFCdSjJcsVoec5yT9rYr1AODdbc1c6bHJFPTpV8IS5h5LrkssY5uFtLgFCQJcQqkqrcpxJ4dveYK
tFN2gWU1Pw6edui7NQprk4dsNOKiHdJTEDCWQxDg1Y4tGSQH9tx4zgp7cY/lbHY77q/9e201xac1
tMJGouw9nJ7tdT0eJAEGZxozSWj1oTj1NgEDxwa1IJmhxcGp9I9MOhDY1tpx4SZI3A6106Q/0s4x
b0AllTtinsZ+tB1igny7M+aEZi9WMT9UMNSuTmGmSkckPiarYNKRskx1c03oYLTDYMGU61XHkY7V
u3xIJAPRUDi3UGPXE1MYTjlpsjbSPJlAj+ERIXKii/TOyxAlNtrxbkEdUNs0q+QHM0G4o5oJZom0
na1qVXXSwm9eoNneuZXvPlyv7As2DXODIkCksBXnVXKg5KE9xIHduCwE8cXyCjTmVy0W81K7Kn1N
m5wekNahOgaO06EvsLQtuZfupRzVnh6BhNb2pv9pTarfN14XPqWOgSuE4rJbqsG/rZZ5qWxJYJMo
xi0kJBettOXULfvpu9tS4RlJNU8Ec2zrrXQXNtWakinUxcK0Hz3L0WCqevvL8APM8wOvxk6tcjhq
eCNgEEISrRgTNoZe2jBSo+c8NfY0Z2Q+xvrTCZb0GWt/amL/6dwPvOq0lhLE5Gs0xhFXAU031KVF
raa9czKJsKiZMGUgJQyfUc47u0qDw+x6FLvSUR1E2sPUOrip4ELXQ34jwkw/syXDN8jr8wxqBRKM
JN5hLbch/Yuxq5LwYFB8GCDvt/4pAF9DF6xTBD9nr8ruwyLID2NSVz/RtsJNYTL6RA0cUG+71I7J
vltQii0fh7ILjuSa543i6n4SBjBB9liLxQLUTuJpwClpolPAVyQ7CYglv5Nw3CNWxPaPukinqMw0
UelJOHJDkYf75gZTuLFFsz7WCGcxx8npO5Z5FHRb1lceCkrH6M+fxgxGcbTs4SvFhs3qo123dZH1
UI0t+9UiqnhZBXLUSIv2/VK59U4UpKUtbLc3iTGZT2yrVhWzBFPtrq77dNvXrfkeNLrbOLOuH6Vj
1PBfWMPQxKWNyGGl84UX1zxU4/9h70y24za2bfsrd7w+PBAoA43XSSBLJuskKaqDIVky6iJQA19/
JyjbR+Lxk5/7brgcIjMTCUTs2HutuUr31eREoAULt9Z2Ycnx424enA30yjEoK1Z+OdL2cOXgXBtq
iXyeSJM5lTCeIoUmQo52fKq8pqZ4Q47bESfAlfXiGSRY0z3a+NdSXxlhHLT6nHPKEbgTwglUkRBM
iJZmnnsfCvDXosBfSMPf4xRrVNcY/lJfM1VzJkxsvM9dbcvo27tWg2EnG4yRcUjGqZZdA1dSgaBf
8jFvB0Jg27y+dmuJcXYULdN9J/YeLG+iVSjRG1RTmDBPDi3SQcn1vW2GOnspmDy/RLJs7hBrh891
FiZX/US2UYze6kk01ryN9Srdz4g3t+HcKaQSJSxJi0/LWJlBXncs82XAFen2T5alI99JrLYMNMba
vmNbBPbC9LpTaLjMrUt/41SOGh3QIhvnK5veYeYnDUGpsrJMrmM3frAmVNf2gCUUCySzR1yNy0kk
wvnV4PdrfhWWyV3UcR5yUt17mRcbH6K1sNHLksYeeddtskOa4ZxddJKX0B0astDtBiFxFNKoCCQo
LcBzENFqAtD/ZeB+fRO4/l1xDIX/p8XxzdfPzac2+7E6/vZDv1fHnv2LKcjNABFBHUqhy+/7ozpe
C2ebmtmRIB9W2MOfxbHJHMEEIOEwfiBv4/uoUP2fFMPYj98Vwwg0qDUtk96HyZ1qrQO07xSiudlr
tCDi4QygyxtieuqcbrmLTEulc3kmts+aUU2R2hIjNlj7GNna0rDX5ka7tjnyQtLxKHn7183aBkEm
4Jynt95It7ZJjLeOiWE2eFCXpP9grQ2V5q23MqxtFq+TyY2xtl6yty4MzHhjWxML4mPANW+6tV0D
ilvt9EEW9IP08q5b2zreW4dn5RI+AxwYT2v8Vb8BDFR+0NVIdKMeaxDXZeU95LEsHhqjQ6BHI6kF
RodHiOaSQ0j8Az2r5mHNYtshgaCLE3bTVhvN7pTVVIUTgZD+4Ihpa8UWU9gE0eClx7/7yXULdUja
KkQ3tMDmVuzid47rxC+qAHHls6DUgRkNxs6LXao/W8UP9uSk20G3Bp5VvZzOTTSyy6v2iVkxkFYK
UFzCFhWlr5v1cim7PvN1MX3Opgn3lzlkLALakJxVUjK3KWu7/UhkKCWA4jt8ygF/3chxiHdaFy+n
pmBWuYmp+YN8kO6KAsckmIZacmd4bXrQ8ugWD0oKPnPK4ErYKPoJ7TnoY0U5EZf9mbTzBJNz4chN
RyrhIytjv8toEvsdbbxbiXnuMDNWvXaVPp5ZEOcDo1HzE1re6oQNtHt0JKnRLINati2NGq9xE0Oj
KFiSrhcaIDsloN8QYVbea51uPnaz1b3CSMl/mxmhXwyQjYHDAQjol63dmIlLqhudOK4VrVoE1R5L
riw+mE0y7ISsy6BkrUYFm5FfodsaaItmosPetrdIcED5T93ke+aQqE3KjYMeCwHpr2ARmCuoRtCz
0BaTNMoJN+HWorq4L9tBZ0DmqY5ApGIBpFhhwAElhmnQ+jQYg7x6y/IC71LfWA2syb7UcWAQ5+zH
bTTtJqF503ag+D3XC4D5PKrlgS00/5qWUXqn18gpkixabjOUQfUmtUPtVxxkstiEEdShjRodrOqM
I/urMnFc1q84PiWcKzeESqZBCg39A+Yt/aWZ0unseJm+ja22v07cmrlIVavhnuz25VXlHFYQVNTT
FYnW0cVDxnUrUStzbAKNObhMUvS2o0vO2TCzzQ4x0LDgshACCJyNl5+geBI7A6ftXFjQuJiZyEmH
TTpNw6OB5/doz2zOGxgJKD+oADjlIgUqnllGauoaBKhlpPQtbX97C6BTv3ZjgR4ELSr9JJr+W6Qj
4N2iIrptYssIHOWYH3PmK+Q94IN8acPYRVsj+/mRFpoZ+VCVte2SivhAfVmcejBL5abQ3DH0B03Z
w65EzEuIpQm0QQO1VtxoqI+eXVEidXOdKqx9S6mQlSRBn7UU1ZccCPlaoxbTtbm4Bbt8ZidZkM6D
9hwNLWzaVNheSMsgmsjrESkt2bRUxm6iw4aZX9bTvZHr4qVpw7L3I84DtdrlTsW49low1Z1QdZtR
gTBgR2USFZ4fjbPDqHLS+1Z/DLEYzc5T5BZ199CtU1C4F3B5y9NSG8BS/E6CmqgDCzTx+NikUyR/
tSLOiyVYm1wf7acC4L1yt7LGC7rT+r5Lv8y0OUSGrls0DRsXnZ9/m2R/VwesAS8/a5LdfB3/5/Cp
qBH1NF9/MKl8+8nfiwH3TTrAmmjp38sMXOMXG9uIgWGEOf9KjfpPJUD5QPcKv4S7lhGYWP7TJjPW
0HD+OAQq7iWUCP+kMngvnMGqwi/iBCi55SUlyY91AZa0CXOBu5AwSZ/IXDjBGU70/N1F+StFw4/F
h/X2Ih41lY3WgX+sxcl3xUdXDVpNhNZyQIOqNpPbLmStDq6P/rrb/vylKKvq78hXby9lcVncFWCo
2+a7l6oKVqQ0MoE4DwlZrHlCI8HA8CjWc2AOxP1QiIakmcW2NoArqr95+f+6nNjwCD1gViEEX9p7
siBgEGmPjoEOsxwvRuG+SMSiP/+E770+cn0Jm6Yr3D72Vecd26tptLnXQ6EOthgvk20+05Sp/B7Y
IO01xV36Z8/3L745U77TosCCFChb4EESr0SfQF+7rN99d2akUKLSCjhgeFAnvA6i9hHoF6fMZjHO
we0AxlaMkCPV6ZyJMRpvoKAS01tkTdEEVE6c86DKE9uT0lODQwAqeagGDxsoypZqw3qblhtDiXo9
fHswVj0gLmlhfjbScc963CF3lugFmk43nmey6ldXSl8EzDDMm1j1HM/jzAx6kI7PMw3EM32XMdqY
VFkc7pRXXBw0oC/J7FaMzRt0+lFl39pdmT04Nj3hwYIjQKZxhGGiFBuW6xA9QK8YdIGOHfplObKh
XGO6HXZmUfxmuflDlVi/0m+879BK0HGUxanWp48RGn9eAn4rZzTIVXDTgqxe1D5TNqr4UgR2m45f
aUKpo5vGt/UMli3xaPpZRtFvqcicmwnCBtJwJzwZkfnsaiI8pXHS+Zw6V8TL8JXjsneZyBUKZpGm
+JNUdOkcWFe9pIz0hoigY+bR0xgOBwwx4TYlGvea5qTfx7hfQ0Isr2yMTNmWjkA3r1tT5GHWSQEl
JZXrXZRLXmLM8cQ3JCk8NfHpkORqQV+znJrGebJKV3uJs6G5LStQYFtJytWlEhkNVNCoB920qaCb
htAlg+yXq7BQzXWVM6kyAJHvGJpxixSKqSUpHH46lgI1RG/shiTXn60qkyBDaNxqcWL0r32ig7ny
9VmcSeyOLklMX6VMKrEJEUsHsXJWf1GypvVqTXgOw7i5rxd6AEXTnkMgbK+ojLuLBUPjgF1VXIvJ
dA5Fyb3AtCzZ9V057cvCfI3pfNF9T2AdpK45Haw28e51VDp7zayb6yXSqrs+nwMD0cc11qIaDHqd
67tmTNVr5djUmVhaqO4nO9k3ntVfoYjONiTqOncJMpwwNMlYCzsXJr6IMDNkMdNZ+wXI8ckqQoVx
d7yv5+yJljLnhiHV9haAjivkptBj44EuU888kKhzsTdM5qSIAPLDDADhaNetuporfY0iiuzqtpjZ
N7ijmcEQjR7p92ao5k8tou41L53TXpRqsEUdY29OHv7hnLIJ2zpRFcjT3UDpileLMhM/r4frBxoK
gY5hHZO1p8nwVWZdCRIz8vZRGI5XE11AhoQ9PQyscntK6ZBnn0mdYekcmsKek4Gd0Q9y8vG0GLE4
r9POXZg63jM5LCnnhqQMHDf+hMzrxROo1qKu0x8SpCoHYzA/wrA7azKPHrNKZxLvcqXBMZw6q0LJ
H2YN3GSAU+E4ZBjwSSMHaX6ttQquAmqlgOSrLwSEA3wjF3cG6BwNx5DJ/FZo+j0Yil3HdPyQathd
KqQ3+yXj10aho54aoblMrttRC2rVVLsem8CndiDou4prZ9tOO1VH5sW265UHn+FuK92hveu12mQ+
q8tjUowm2JKYo8Zab8cx/vONbdXLTZhnHa6jsJ6fKiHzMwvSgkzWQyds2K9NhdTH8KS2GWky+aRA
o/3SYyii5T5mA0C3R/9+E0XEYuSFKG/aQh7zwXjKCrxORijQFCELtxpJQ5ABTBBmmryOwuxriKYL
eUG7dXuDEBTdqj+nvTnc1hzXvY2d8+yxJDi3ycwxg5TR/OgURnNgVJsF1biMHypOyvTCG15Zx0ow
+7nDAwTKYlqHIVr+IsiVpE+1WPdErTkIvBm9CZDW7aaycxPxVdxtHXT3PCfO9KUoZgQHqqTT1ZZ+
hivg2Y5thCQerhEOa4DvhTVZ5JGweuSSzMx+ca1zbiajQlmwDBwZpXbAk+tgtXd/dYWJwmPw+N5V
aKf48KV7ydtJ7AnmKlBDWjNUkZkkvMyCWuB48QGXI6E7U28fbGRKt04iskOsRdFHaW+LKJn3+Rxz
+Yd4ehKsXAFuYsnJe84vpsRYYOskAWy0LjMeLeVsHaJQXjp8qx+nwYlviHhZXtrSDCqoBskmrZvm
phd1B4on5c5DJ3VARAn+2+EmY/P8Dei2waSgyXY4Atsj++N4HFKTNUPhe3Gu8OgzJQyMvO2/1RX/
Fvl/W+SLtUr8sypane6/O9hXK/3//T9rkX/9dUp+rX6s8N9+7M9h+Nq6sxzb9NZAUur879p9qIzR
v+NSNxhuozT+s8o33bXfhx5EUp2RR7V25f6QFItfTE7TtAjJGYHgCor7nYT4p5Lid3Wp7nm8PIFb
FuR8ynDrXdGomJQuY1Sm5waIwfzJYlJHfqnldtZWxzNYsjqPbGTzIUHUUWjHyojhEvmcQ8oD0Y/6
HvXI/KXBpkPXQ69tf+KwvFxNpeN+5Sl1A5oWTrOoQ8m2wvBwk+XjbD3ihlgkaQXMqg2GXzl2Xrao
Geanvc2WJY29Wz3ROvd+IGMGCG3tdBAqH80SkKnvjEOnv5L9lifzusRjZ2/iSi+LU4ICz5+kyxYz
MAtbaIYvdjbFZ0QxqpaPseEuK/YTrbbOUw6Zg3IUE1eBaxaPhNhKWlc52HXldku/L+tBGoXf6gXE
3IRMTUSHuvo11tpm56p6vrONvER5OI8pP+rM2vKxLnEeXb/dVf8+gH/7ACKb/+kDWDVd/D/+p6bK
k3eKFL4sfvSPY7b9i2VDcgB3tB6r356033vuEm2JsZ6/dUjHqxuGc+4fSAjC5Tjk4FEBCm/wYzyf
fzyE5i/8UYHCBUj8N4nLP3gIOX6+O5x6HKUANMDYh3uvm+6aS/fdWcpdh6YIudIDri0Q78Jb3exL
y5w7MIaGBmI31HoFFtiNga8Bh7GOpYHqjYoG6bdvjABPduYyFdm2sqtI0dutBDDCeigLnSwKs/1S
JLY80+i3jhiOxA17rnXsLIBJiEuoU4GsmcchEdQhY5qTZ5TlWKAYCcizh4D+tWxl/VrrC4R0SKTQ
6SnO5VnEFAs48SGteysqtiojx9n0lSHrvZG7cbNtsxWq/i0rNKPpemeoznvuackBdanXkKquldPD
W2hZkYjpoQHfcwyzNRbWrCeXBE8SbSrYD00lT44Heb6VugD8WQDAF3Gp+aJcIwlgpk13MxQ94rB6
tvlNDZUWa6oREXEsTHFZ18FP7ponWlVafzCH2HxaRvKpShPKemvqyDLAvIibyFB8fiw6RKw5Ob8a
/duqy/BSAMTMBNovabPmd5UWvkmSrQm3CpmKbiaz4Y+B4SfPuLLtT3PEz1Fs8wY4ka/pQmD97nQz
YogZxpwOexKtiJrzJj61tUYzy8wkMy3V+exebhMl1o+6SW4MdLkyduMbM0PSji1QbJoxgVIYJsPR
rDxEdCA3V9Plej0BSa3xbhPs+4D7mv/z7Qslq4FgXUS/3rPRr98wR6vpjq+0bT845LNP5xHnkggm
cmCLAN9xltxrhcFHqAAXIbQcYv4u25zoQeJPuS5o3XmP31JYWdQ1G42CGyV71RUoPeu15nxpnJYo
0bxYNHBq4/JbHKKr2uhD6T3P+fjQLa29m4EsWCT+JXCrjTa9d4kdsjAoK82vRUH6gcUNuMI7uGsL
bvQMumC4A+3Bb1rCNbfJjZlq8E6I+GKMMN3FVE00F7qBu8FoCAzZeGZHYJfHROkoLdFb17nrEieH
sp2bTzMIIA0HtraNO9bdF2xeyKIxuoqbeFQ8hMhN+YKrGrY6jf9o3cbSGmNhCeMq8TMPLtd24BZl
6M1jea6QaloHEN/mUUuZ/DObN3nfydKTaVdgUAFlCpIUjiodxE0oehJ7p9XAUmLuZlNc75PZm+rX
fv2KpAk/qrDxlEvR8ssYSid7z0Zrhqia3K5h8La1JepXMF3h89stnGgu1zcj8q1aH/Z1Zv4aOsP0
MKLU6v3RiOa7t3R0VJTkYMeMhnZvGZKUHly4jtRV069zyQ3T44e9yhGJcgesj0Sf18keywgXD34p
X7bOwsHeqF4XlzRxZddENZC+Iy4WboZnLdUHCBAEElWbVEUFlgCXh9OpyPpe6CJA5LPHgXN6wcfR
yQBO2okvdJ1n8TzoOjeYZvKQtxmsVsCQlrgMRsenJgGZJAeaoEc3rjzitHLvvKg1IKNLZn5DBf8Y
SCfwAIh+bhubd+lbyrTWINXadtHiBToB6QeSd/UdDG6yLdSkBSaakwYDb8bnNSfmc7ulnft4CyCY
J8xoUAhtFpMVqzCQ3jzM7YQ8MCXlL5mJzzOR3zxkHsuzLDNCJwuR83veMggRT8Oi61gydJp0l86u
e64gPO+Hmhsdhw8AjNeMIKuDxzF/j3/DuLjE2944VEwh7ou0WR5bItWtw9SzRJoLH3jKMu4ozUNu
HeSGJi6hDh3sFFUuUHiTCJv4xJQIPpxOzF9vGQQ4DiPfUp6Ea5aKwdIswpl7KpQWNzhB4XytTUvy
io7gGa5fSfil6mdxgdU9oqVqIO6uQzDuF9ESqFGtmZQj7n9SllBE3SRASi5FwZmXtkG9aqO99c4B
MFnNSPsafr3B8eULkXvJPolt7m74CxdEgN4zyE2RXlnIWg4orxj4vt3zloEKw9c7PjOAyfX+710H
gkkyEKqOiJLPqa/L3jAK1SFYpNzD/t+yvjVtJ4M8Ntf70ZsJaqyV9J5hlfBFflvS0lYkRVC7I7eS
HcqmP6ayRaKt6NY1zKA1cWc5PF15nnE67kcuLzE+u7cnrhik9TySWgczRtlNvHtbWasqFg7efame
RQJl8HmMojl7sZkiJ35urauUGMZkb61pmx6qwm3aq+JexL3hA2z4gmXIOzZ1vW4GSl83Z9hEMAbw
UN+Mi81CxoiKJ1hWshabKQanEyNTj+cDy49ZjIGIALXFJOTQgPOdavGuirIlys5wwynikiRefr+k
TB/1JHelj3c+emYrJQe+swu+olJfQ0z6ibWWZxKyGktMtcFawnTYVI3zpSqL5yoSzckLp14fNzNC
E+oQs7kY5NpW3roRwfDOLwxYa1DPvbxjgqiHPLvE4jYKsr4Sorux19BcQGORP6xBuomryNQlHvej
6oytZlTq3K7Bu03n+roL4Gbc9MVbsFHXzcc27mtI4B7dhjuMTZWPn+4Fs9SupuG10xzXu6utYZOS
nhS+5SjNTl5r7BP418IjYsqCVRXZqWk5DkFVOgrXWsdJg5duAdreIlAD3GOlPka+4iBQwccIfmrA
5FZGBFppDB7c/2Wn90D+bJIrIBO74zyAi6cZtpsdoKYHj9uy8SOAdUS1ubF31ZnWciunzj21qcc2
l0wICCatJhVgFE8YbuBVIDy6TZZMnlwj5O4VFkVJLJF0yrTGpVdPBnI/t7+CC8sA1YwwJ7aaPX3K
rSp9mt3iiYxvlZ+JcbXuVQaGXuvakYzSpfF2cjCH39q58T7HEiJJO0JCWLjJtgoqdyCbmXg0vEiM
p0kSm6cOgLOskQJaFmKDnhT6a9nE6XzN9XK+pJ0sd0uP0AIjub6NkvHJW9M2MmhOezccP5JuvOZE
uZ9BDcwkv81lIGDy7syM9Eijs5v7FvgZ5U/pbO2pmH5FZ3zRcJ2hymvba5nEyz3UK9uv3L7YVaBu
96E30HX2EmsbqfaivJ4efeNQGW3bQlXXZLSzRMG+9e2R7MSIuuHUF404GZivQJBV7THzeutcmbA/
uGgleUDKfgS8XQH6U3KrwYrepKxYTIWK7A4FDB1zedKWTNyyCeBbsaA+RlJzjjnusvsIFK1ZmuXB
4ES4ZzRLzTqTWjBFXn+Auwb2IJm115bRU0CHx0MwapNJSjQBYCv9IWvWpDuy255QLWvnuajRz2nS
5edGatfP3ZDThA0Ng5bmVCowBF31IV15AYCBcOhyfxvZxWhCeXBHU7vRsff57LwuqBRr17sghdMq
K9Bluu4nLSs+TJrK4PSA7/aHpml3GskbhL24IzLJpev3epjFvi0zGtio3YOF4Qi5HnF3HEr7Sx1H
1tYALOaLWs/X1UocZ4S1n8IGEGMQVu30gYp4S3XdUAkmehnMmZ5tO+ZEl1CxorDyN8WWDn2y0RLD
PegtgnJo+nPQGjQM7RGA+hmNEY3w2uyJB2AhQWOigs7WH0CY5wJSRt7gcXTBu6YPSSjQGIi0WKXe
SztEX1j8ox2JjipYpKiROw9AnaM45JRfofDZd06ssTA1iXOQsKaeNZpqkm0vNBwcJyIOQHtyAonV
lqZFdZ20PBcJsubn2pH5cQHVRoTynO1wdS5b8FH8Z+qiw2Pm/zRGk+QWN4vK0k74Yin8WEgLXEkk
/ETnSBU38dC1L2v6wxVi1GsnI46TzSt8LHpD/+CNrdNsYJuHSI+UmuHCO3WvH4uMZJKTpsRikBph
ph46JbNXI1IEjcoJ4LEZ3oadN1LNMj3bMGWo5Guochb1ME3Hemb5nqFkbWx0pDRaSTtebN/ICVvZ
RC1GzggEv96brwiE2XXXiBUHILs0ox1SCrvAO9rw/+mxL/AK7YIk5AGnQ7O1e2rQuImptsqxpRBx
Bou9aY0Mnk+6WCZCVQnIphbN/UKNlOWMAf4uNc18n9lOL8xe3SEgF/Dg08V6d3YedDAzjYoPtYNo
lZ2PUhDiEMmz7sQibbblI8YAaR3nil00mOhjZafBMoaH3hoAD8bD6D2j6KR4Z5LJNi06quq3JLHI
WqgmkgjdRx7CiUEsw9Gz9PS8CTRYqeyUbjNBwqVP8eVbjUxnf3rol/VQUs7o7uNwDQMe0mW6W7eV
T0kJCKIknBGnEyx7CrLvGiB/MZc13o9luRyuAWRHcIyxHO99Ul8sNALrBlfbm7HNV2JUSxmfZL9W
XuXEu+c+9M5EdwzaY2ksa4x8EfO2ZtCNj5PncLUiEx+uby+EDBKlzr9ysfg7wd1zRJIOFa5prOlz
I9BjNKZjHyWHCpNn4SM6GqJtBJj9sMwFr24bSNJQcM209UGBFF9+/mFXssIPQ31P2HA1bRdJmK4j
2Xs31B+8KNFMJkAkUQx4I7x56luSfDKmbY3t4SCmtYdUf2rVJ5j784Pq6DComBN4QoTgQ1Gqv7n8
4q/uRt204G1arinYPH+8GzUbh2bPbg8RWqPYc5BRPHQ0kp5bGjNcBG09tI6G0X4BGWoe64FTQQmS
IN8LADvkRrX1enLiOPLzS/VfvBdBtIZFvIHBdJtu0zs5BwPeHJ9Ckh7CCmxzUFSVOb0s1tK3H6x5
WQhCLTyK9qpk1ONsCFP5u3C/v/iuLHrWUHCRCyBlNdZO9Hc9rjF2RLUYXXSwJ0/C4C7bKAl6T4TG
jaAdHHEmC+s9MekxYcJ1uJQ0fdvwJio7cZF6L24YAHP4+seXhZEiJA1Ot+gY3t9ApdmHFR6V6FBq
nJAgpJFfPyUEIXFwCXNswgYHhL5YOENoQ1S//vzV39am70UpXAxe3ln/4qQK2ePHa1LObgbabOGa
zDkdAzyhMzOjVski5QuJZxu7qDlK85K5oXYU6ym1tMADQolUtXFrOfOQLRs966L40K2NplrRy/8N
thBH/RKF4LfL9W8n+u870ev9+pNR0FsnOviUvc8HNHHY/NmH9ugos1mtm9Qa92eId9pvC8+kbqBR
+lHyxZgITTiDGhAzOuQynt3f+9CW/cua48egSDe+sWf+yTDIcn8USa3ypBUHxQoBS5n9471IigFm
3TqTa5wXlOvRsk/aaO7QvBj6ppjba62zaDUV4OU3gwQsu6FJvrzSPXNQhCTi0A61dg5579tZacUu
mgkld6ulva6i8oDpvz9JNboB5GPnqupL7VGVmAdpGiM6SOTq5Cucx4Ezx1MqIWbQSEbrIGpVbYoW
B5SDy44j3CJ2Bi1ZeIJDaOJMR4/J+8bMYUeHLImvHbNoToYH1SNW4f24qNuprYJ1tV5tmeKg2trc
SKTgvps7J2ExBe8zL4gj9aWnURv0ad36xdCkfmOW8zUIVMgysHw5cTH6IWZH5a22pbQSO7pQyx5x
LJt9ZOy10i5fvHlIt22dJQGxiFsAqLdNNltb1n1or0ZHL9QtaEXYMCLMwuH1C6xQXCmLM4H0DnPb
Jw/En1VBIcRCE9Xw/LGaV/tUPRxw2902s6ej+cmWLcJQsaEGo3DRaxMLi23S38U8NiIwheKctydO
Y9exoPajLn3w9GLcduB5vKI/4JpEgwLHcjMjM/Lx7emBEeoUPimz63h+hvc6+wOGui1Opi7ocEkF
+dxHfmNrDiP3/nPRIrCaJhROQH2v6iaZfRMHZbW4Oy3J6x1JcWUA/odAGrbxjbKdg0fQWIcgxZeZ
gWhpCbXn2aTBwJHSxtaEycvsof8bFjE3GhDTo8HyfAEagmxfyCHAnw/BYRI2UBqNc8OkW3CFQVDa
MtpPvYOdkl7S1hPpx3qqrStFcgJNBfJSbFMFPWwLYpqifWz2LoNzji05EuIsVZeqdZ7ltJxTYySS
HRvcTis51gp9ifduXXxa7PRjqjprn5LQS+d7BFeJrOGkDO+rRdc26AbPDrgnVlHBxhm5JWQT3cN8
QR4SYWDn8EPoYNTR7hCLb7W5DhbSPiojFR9naxFoHNqrScs+L7M1bckJJ+U7Ye5qlzRNl4W0Bryb
ZLmUqQrcqLYO8YK1zwLu69O9VEEmmg9a2yF+c6cwwL4ET7+a1R4RibWtgIPvnLRodqGZPjUIOa9L
PS52pvwcea1+miJX+XbtaJfcEkAxevjZgZsnyUMxkOxXto5O2yGe92CTmgvOBRkIF1bbgjIwaNvl
uoVDsMN7Om5xgjm7hYNPYMPF2pYT+J7O0HRAPc2y1ZGUbykvY1hHIDPjzkRc46bOUXCMJS9UDgcm
NjB6B+OKo0kfaDTln8BSchUlIUIG7Q3fibyRsCbYkrpdUTLZqf4E3gkwtSYcnly17Lq4dn2vx1+M
da58zAgSgzXZ6ydBO8TecJiImV9oWUy8KamF9DocnxyPbGvOACl5q/3ZRUTIH9TOZZXA382cG5o/
nxPEGzgpOA0OCjV6Tx0duAvXs2aScXDhVuMY138jnVfiFazs02pn2aRO90huwpHN3jlJIBsrHOHB
CVO1ZcJTkeYxEf495k5gWQAqDOX9ij/zIWGkxXTgLof0utHTROznRPtaWMu8yxtcpZ17Tkb+fOuW
+9GZ1/5EWe7cSGt8RG51MIfU3bFrSpg/ySdVYWKMJF1kZFsHd6AQzTNG5aPsO1/oct4aSQUPClCs
r0dOcz0b7q4vjE+eAqsooSHCtWjtx9CII79wvW0/wxTmUcPIqL4OLS06d4FmYjcp4qYcMzIGYdLX
c2PYgiBtAVxkdYBSRh5iIlaq3PjoOO05jSxiKe3pWY4txktc1n4+mw6kr6S8eN7wkgNADera/Qrn
BldfiORxjPKLIfor1+qam1oap6RCVWlXVc5cx8GM1NzlcQji2YylD2zzt6YhEivxIEjaS1/tLQtj
SYhfYasIFj0ziSINYmokMlXcpjmq09aMP4IB9y6zBcM5L8XV4iDMGYxZ7TqZ0+ORvGK5LBeaxckd
gYikgrEJTVo4bbIRbRPg43zX9La90Qv7cZ2GBU6nkqtZtceowYGA9V/DP02eCdInPYgL5bzm2fRh
DPv+4M7kGvUG47Uoj3e90Y37qZy0HWMjmivF4N12+XCnRy7eH8ta3zjxh6oN/c4GTVDATCO4aTui
Y5xUMm5Y0PKjiLWX3iPLRWFTNzErsxb2/VEOS8NakzRYXELnwPqbnIjVQmGrscoBvEIfClBrg9kX
VsFi2ruIdhNRJTW0HKsW+8hNX8YhsRFaysvctVdtptaww+g3U6vdU17m4dpqWjZW7YidXbmwa61C
P8macVpFsBlG7SrcQSsCSi9nLDifcw6i3ZOFqxsRJw035ZWHiZke9Nepw9M1Pnec+IgVTJF5pvlG
cfcVksCzxgPP6sZMOnjIkBzbrXlQwFwG4bu1Y4RPZk9hjHBynpsW34XdVqzeGZLPekywVBmh/WBa
Be2f14oMw6U8NebQup6fVhJxyqZM80SLQUjWzdI0/wo9/v9slZxKOfr8v8vrW2DHP2isvv3A7/IO
qf9ic5DSqY5deDpvnoj/yDukQHOPLcJ0OG1976QQvyC4MDh8CdfhHyum5A95h/xl9UPSQjEN2qUC
Fsk/kHeI9+oOlwgOiTQfjSES/f/ijYSjFpF5YdtHcBx1GBjpkhFwUIcn7JiDjxu9ffEQhBO7wEiB
4IbwJPOufmVjnp7sEt2F5aTtC9CB9iWa0C19dyX/omP0vjPAuzM4Xdi8QcN0nPcdC6+XTShGzzqm
g1V9smMLK6Mel2uILw0MleTz3qt1qom6Ihvk56/NuZ8T7vcnYLlCWGhUcSrCAPImv/m+KwCJBOVJ
nygIauGHQoWM98Y+8a4zr6mcwKlt94wJoSSOe3bcq8nySONGfvFxWsrli9u3TCrqZTZPUU7YZeb0
ObGnTZ9tG1U59y5V1OyTGGAfw7HozqI26x21MqmSJCJu0qlgnbaGtriNjVnHhSZYJnRJ83UDe8QN
+n7BA/a/7J3Xct1IFmW/CIqEB14BXEt/SdHoBUFRIrxPJMzXz4K6qqOqerqme577SQopyGsAZJ48
Z++1vTHVusCUDjV17hhviG0R+jLRDmjjNVfuYIGEoud4SQnVYlBh1cyspekVewz0fgquLWV2llni
RUOiuwPq8DQCXy8ZynTswa7T1gTv0XjQ0q2h2zemOi60F8MCN2KQ05hH5eZOigjymOKjTQnZqIx5
ea2BtOPpw+ZxbU85RV+/yBePiC9E9qKkqY/CeAtZIFOWxnGx7EmgdIB8GhlzLAMlMaak7rJNUR7E
kGV6lOPPIxFOOPSBXNFHHtPI3TRir9wrc4Y/l/EoXWYU3jNS1M4pUd+l8kkfm3RXS3caT1uWCAFP
Ri0vczZS5unmBOEic3SxZyoce0EdS1Quge0wXt1xxtyS93pBYZJkxkT8Cl1/Jt3kMLZEmR2pAw1Y
9TDFg8m2X9188WCBOfV9UfczKLfOoGVu04i1tuj4IBGzvseV0O97OdnIgQztsBpe8qNLDbUvRIbb
WKmIJ9Un29KtLquxKBO9w5if19zLI8+W7nvqyvZIKPa688tWHpcMsOSeGLyEAKscf17Ilj9TyHN6
PQBQ1aE0eDDZPT1+BhFKk35K2YRK105/WpNQd3qD9D/Iarf6Sed2S/pbO5PjUEaGOYr/jpBZtdpm
4Lgk+0Y8e49pouXmLYFno40nNK6c6ZHA3Gxug86tGxXGKI6SMJ9jXCkettofdU6jGZdunx8IT5x+
oDaotrhiSJVp0KJjFDeAdPrsHStFSQxuTU/3bhhIHFrH1QQyaubq1Znhil8v0BneSUCHhh/749zz
VHSa/KjjMS+j3pcdOnrJrr2T5NZpuwbbyI1a9HpBJ+lKfTcqWmmPiwkQ+YhdA3GmFtfbyL3uqyTq
xzRpv6GvQe+J42BLBVjsmjHpVIjjypyVrUDW1306ZS1+A7N5Hxr6pFtzlFt9Fs0JWUtxgQy0LYaM
v4n1yuq7fB1Jexibjkg1w+fV+u2zLWlsPwI91SdGnEO89fqt4UVmTo7vNVO8ew4+67Fr5vWYNVPL
pM5u3iZs6QiGbMUkL514kHcDc14tGMU8fhc5lST5sL1NTEyMnCZsjbZ5RzPB8Y+x/br/tZTTBeB7
shhp7mS+WZQKTarbOTPW53IwNdD+xWSuEF/mmIA6sKWWpS/v9jgySzt7BFDyR5H4WxMDhhEVctDo
66Re64R02YHEFbt+B59bcev063DV9Ktz2w0675gRUKPtJ9gq+WabbQ8dFuw7JFaKY2mTGcPGn5yZ
Qib0D5uGByujTL/r7RJuC/K9xo48BA4nROUYEXATpNV1paG/Z0mETxoYmLdPyEI8Reo9pmMalHY8
RvXQu98Yt01kX2c9LNsyIWAVt5SziIDRqdfTjXGntwbwym3qLOjlPSdvgtgTBOUw/9wV09B8H3T5
1Zwn56QYJtsHnbHWw+iUZhlpkAPVwUNZgdPDy0jWMRo6P5adx3sdRPlNaqqY8akGtCClnn8yUDE4
lIKj/QFcjkQaRWjbvpmARhkNVtpSt+drq8ybK+gHKUltKxZ7asvyNHdea+Nd6vUrE9zVyWcCiwd6
iLWngn1m5SP7S2T55LqSmFW5BgiQARsJukeYk4t06+VQTya0WF05eY8dDawKSegWKEcW/KEyh5df
++j/+rL/r74sglkqin9fON7/rOsNhvVeZ+9/KiD/8YO/64MtnLMobyHhI7mHCYd0+PcCcqstkSD5
SD+2GnErj34n1hlf+CcHEZqBFp86hm7q7wWk/4WxFIpj3dNNtH7/HfcbC9BfqyTXsjZXrzAsillM
uX+eE5TcMQS2CbpBbl0s0ag37NZ2ubHFYog6mzpNN0MIO321n6QDyQnJQ3+yvIZ9d+0Q8IdpKYgC
7gZZ2lFKx0wLhiIZWdA/WiXju8lxlqtq0UVkZah/grXC5oeZfiCfSl+I9HFKGnaaObBrc8pHs2Kk
MdIRhuXrQQNF+Yyurj8veZfeUleLnaut69fY0ND7WCiBd70v2nyH7LUDUNuTDi86nzApfRbu+5qb
DiYfnV5f0DimQ+xNS54bXcw4GtP6mJFE/lPT9eRjWrXsZuZnXu2lyccIgIN1nVZlTCSRyzINZs6H
QUDAOUIEjRKAUVN5pSB73GVNKm/UNNBRjnMCH0RMPnMj1byjZKJN4Sa5Cm2+lHCGrR1oKFfxUFX+
HPhtLBBl2uZXr+drxvyFimI0UrGFWpEVQoIkXasu2Rk+37yVWfqZdJXqXmqms5fOWj0Q2dbc51Ta
dyTeW0YAVKI+I1Vvw9xbKfSmlEApynQZbuRqsNCJ2C2uA9ijxyWag+sWLxSk8npsrNfBTuSjji3K
O1C6k+ptIBptkYR4xYGkb/N5Lgtjj3vLOyDBy+dQkahzw/QMX6gpCIhvCCK0bTVcYCB4+c5xYvts
Apr6HDSIg1alX1x1X/llHQ0TZGDoX/fWuGW+0Tgyt2Hd+Kajvv2KGHC+U0Nuh36FsXXwZGiD+mDN
JbnCrOfyzKgxvqbjUD+A7bBusFa9ZJPlRGgJimhxxoUsnCR+XEa72zmaXR0n4Bmi0WVYACa5kD4o
7kYCNqIYeeyJzelAZq63I3V9CtNRNFG8NuyBvmriY044xx50Q/HJ7P9Dj31t31goh8FWlPqFm5yV
F0wD0Bq9ChBPAqPCkg0NzLBol9oPDXdbSFfzCrtkGlRe55DeN7yuCOeDldCffcpZMbAXj3c5pHaY
jHhp9VHP8Dqn2ivDxeTUkrdyscu2vVlQLJxd1IQgOlJo+/qs0P/1aLhVx33DbTsFs7MYh5YiJRjr
NItyYZFwz2mIvYe96bJM0g6gNBPhdHCsakn0r15cztmegn/aSmh9tZwxyqc0Sb3L5Myg5cJFI1H5
0TAKe3q0adviZrfRgenPOuC9fCfsPLtyeuE+oBKM05fZWisiqvW8JC7FbyhUSrS9vL7KbnHBGxxM
CasLSkLGVdjTTsOQrDea/YpTs85P02YHCspmzfk0iEyt+tAj/1GPKsus6VH+o4BNflWzhSlU/lYU
sl/rCMZ47UIUsQcjXFpiciM1cKThxJUlyVulZ8mWZ66TRkM+VMXtyQxE7OZl1ZGM6dm8NSSnhcRE
enWet+sqUxbJcZGe9TY29SQ/3MInRfGN78gfVVCOsjlTV5pI8eq4kCZ/OKCBofnbWo3/c5TxU11A
Mg9FR08gNGRvcFLX4P78b6f+T8hZJtNt+iL/fqd++jm/D3/con/7id+2aN/8YovNbkNazO+OuN+2
aF04X5hZApulu/Jr+/7nFm06Xyzf4b8Y71vCIpDpn1u0YX9h7g+SAevPbwPX/6bHQ2foz3s0hhUb
WYXvGhZvyOS1/rxHC6lpCt+6OE0cSl+UZrnBUC4f3myUBEJr3S7VmPTNVVNc3Mm7QejBiUvl3WPb
MAgV/XAeF4duLswNFutROy2x6cQH1eTpPREA2vvobpgCpxHd0fJiGr80dJLhHjblYj5YVlYYFXbb
UndP4Fc949a3VtF8HdBc4mDWCM0wDwzyWJu8lgUAExx+DGiRha9kBdc+JgwcYVsiXBW0iMS7r6WH
KBgNFTpy/cyIwgGnZcS+3LmpIMArLS2jxWxNUikTDuBSQgQzQj608BUE2LPbLMaztSRDVwRrozdQ
1y1iOQ6e4YIXZT8hixuobebmT/GiaTymuluoLkpRyrzndez9SJycGAY8IQh4oAORZ4owDU2eeKR/
Al1L8haGQzE3xhUWri1IAt/uVZzrqwLoyBFxr2gGqN1KmJ8XeU1O9lvTvs01gWNBWZsSd/fsMYLx
7LdFsVSieUuP2ZA9JpySuVhjftMZdXNkKvicNxnTZjlRaVQ+k+Ypoe3QVUn6ks0Z3oSFDEJyo24a
q79Kp3F8ATRfM1Qa7s1qJiO8Vj49/8T5kHM8Bf04vaEGHdC0+2Exm6dkLp5nxdB7YaICmNX6njDU
2JkEUz1ilcSUuWqkcPOV4oeAce7iSB9c6gbPqA+G75MekT1TpH3ilZNX69DAmygIqeXUFVajfGuq
4Vyppj4WkpM1urhohjgfDKy+V20rdKTZ632aVA2Q1eJ5c2ZFY681OzJMfzpZ7dxUzhrfT37jBPQl
tcAf6aANzISLZSwOlrKQo+O6NijlIqXUHCZ4yUILGtk1CQr9jScnY+diQD25TZbBi1hJndeSNFyR
u3zPGHUcKmVn30lAmM8z1Mhd29naJWkXi6Z78pOWR3NnaxAnZTY/1tVSHlBskwSStdmxLjbbWUam
Lm0HRDO1jYca0+uJdSHdw2v392DkCF5LNf+gnOknaFaSQFNJBcHaEVAJZ5AL5ux7Y6ImVzbcd+Q0
AMIEueNopXD71xAxEMUxahaqhBEwYIYy5ifdrkUAovdZK+MTc1pMc0MLIURqLzb8XwJE5/ycdjaN
idbKPs3R7r9hVQ9zXTJSnSxYWqpjbj0uorhm2jpeOY7kiWfk0kUIxrXPRjpMIhVWRfC5rkfIaZ+r
Fa5zNWvY1cV4WfAUuI+lVbT3SEjAUXdxn21zMWdvwrHfbZk8A2b7MX8anEqGEnFmcgCzapzrMemr
cDElr8aNhZqI2M6PsezMUMRK3edAnEOluC0SX5V0m+Z5+dG1LKq7xLWWM32G+sh0igDCg+TWgs6x
OGIOO97t1iWd5KeOgyoLkilu9848juknmDD8XdBTO/p2omunW8OzhzdC3mi9BKmV0gVXlbhKa786
TJnXhmmnGQdhNHyyYjq5S05YS9qwSsxkXjQi0Xa2qUYMgyvesrYzd7G/EgaaQJgxvPV1ZnrwDCeT
HNxcAyZRvBhrJsglgZVcdfJMEoN1mwtSYvvSyK9qLfsBE7ePMqPNnqs+55xPJzq7MfpFcSiiYxZR
ROr3XRV/7Uqj8Aj2NP3r1iqbs+7Lvema6hp2XXuxTF97LKzBfTcqO4uSArjNWvkETY8JsZLBNBug
uHHR7EmSJ2s1BjwkYzlEgC7kbTmkDby0jK4ykMZDvz21tEEcdPF4KeIOk49GUAjsBMW8k5ZctgzH
SRcppAAJornzVtTNsVM/0I14I3TBPlqq8j96Y3hwZyudOAPSbDY9+eos4HloO2k7w1Qnq9Q9wMm6
SW9Ub+VnTCW9yzWpXVGqpxgJRj2qxYoYqJlpQSVeso/BNAeDt9xmk1fcrZpQN0tGTlC9jJjAa3wL
8wAuTbnGuJOWgQbDt+ZATIYX+jmBR63eHxYt6VmD5Y0/smqtJhNtn3D1UCB/P8nCAos89XaQ6NNl
9BirF16D4dWqmNuNjX/s5vmggTE+9UR6hzRdBc11v/pY2kbtBB3NcNQ1kB2MJ3EnNQSS478fnvws
R8fica7uUCZFg+xOHCtRkGrt59y5XyuI3bvVn8a9GFpUAwtYSM2C+ZrWM6PZsZrPWtH9QIl3U5LF
caVDL2KYj/q0NNz6zqAyuaa2bXa1WEi4zKQ4rWDuj5rtwvdrGSbArcsQ1HOq1Dw+81gw0TSqgvWu
c76tK7TZ2ttCMAr5zWiK4spuY44eIPWC2KTh1i65fs09MByGzCKiqCg+6Zn5+7ldvyUtv7VYfday
fCH5OCYsm/MnzgE2fmLFW/T8opT9fQwTP0yVPtxOlqfY3DnuOyKhYWd/tn7305JZuS9tCgY1Wy8V
fVzwLEP3XHr8qrW3GPiOs/zscZmF+ZAXEQHtVeAOU3qP1zh/8I2mPQnPWK9VIfka3OLbWMUiYjFF
/sOA9gXoFhuGNLcE6DpUCdr+fPZY152s/M5EwWDqsTSnEZHYPidlJyRQvN4P+VpdG7qBsmkhWlOZ
y/chjYnXpjsTTMT5QPYvCsQ6nfc8CGO9L0x0Meymm2oodce55gtreftKFvkbj30hb+RUe0+da/Oz
plgemRWdoDBOoVb6ycPIqPneBjf+hm7l0XacKQQPfWsZDQkfo5cwFE/zlsFyzBdNDov11bcLqAQ2
rVYOKDtrjR2DRoybbIhFTHUECDBZwWemh0lj/LDJt7ejhescGK3e3Cl9lUfBCfTozrb3bSoG8UYr
+iNvY3m3ClODKKpSdcxbad7ZlaN2+ppD52fOJVWAkiv0sSsR4Gbb3BGiuuCCsy84AgYRsmpqlBhG
a4Q2kqTPoTcJL+BBTbimgGo3c0jvHNpWt3lkavr+x37wYVvixnOiJTEf2wy8syvFNQy5/BV+qPgO
5fFcTpguorxBKdIl5g/G+fZj7WTGhw5hCD0TyvUCE8g4n1rEz8SaFindnBl8+YeAKh6RzDw8rlPP
XJDF84YDNknTtXO/OvUVEeiScC62g/moayvYd+Uo90cMNTFMjcG986WdvSCws8imyuyor6ZyZ2dm
i5uLPNyo79xq10izufSmRUAS0TPDLa5nbHMibgiAle2I+aX3EFOpeSCux0MAhOUt38fuRLqaS9+r
5X0dZO9oB8Lg4urQoZZ6YTUrXtjixtdymsVjkUuI+rmbnYQ9UfHGnXPuaoVpKdOGGAmCM5XPiYHK
60ppC7OgNcVWh5ySnoWgT00mpn82Ok7eaTUT/z1bNZlbit7QKob+Qa6zfBHeOv6w20kdiWmmd5Hn
8s5K0v5rY9p9wfPX5JI8XVoulc1RnepqffYBcDU5x4eBaCI6n37IOQlY2uq3JlrCsl3ULst5Hq58
z6qqHV0H5+tE8oXzmuCL5azuQdlmLmr5PIg9AiTME8wvrcJybh2zSN+UO9FgxLj1WK41nvIBn/5N
Wc/ZW1zZ9R7HEoSuap3LE0ldgrjTPPECUnSJ6BmqqXoRhEI9QPBA9FGxvPaV/8j8FlUOHr/vdVU3
tGbcfO/INbnqa0rSsladDGSlqic9pW1mCtc4TF5VXOdk0eyBYaURXIQybLW1HAK7B9c/QR99KC27
70mNI+ssV1kB3EAfr6t6HfEW5wRPu3Nyb7RmvFw8N++buznBZR75zOGJCgk9lAUUC1WbbgZTzDuG
Ac2EcjPb4CaF203WI3atX+CTcWk8tx/oU6UQlaZfmJRytjRkrdBDyrWt+8gcUtbR2QP5iiDRPMoU
Dhgu6WqMoLTgVqYd2OrfaUrHkdDyOLnO1Eaz5Rbu8x2DzilyDICqjI5dwutTIHTXSmrtcaRndJk7
zJQV07zDajuE1EkiyLqpb08992Q0SjO7bnNwdLExup9V31gfoi5guZICJhF5Ve3TUPhx9qbr1hhW
zPBw3Dk1SIB13biwnvcTV2pydAC84qCTwPs78sOeaQ6JXUbgK7pMqAL7wRjWd0FhfTUtrR2UnI8b
l5S2hl8LBqyTD22btcQyWNVlmnQb9mk2hUZltZGd6nR+9LQyd0kxkNUrEAyIbpujFYzu+z5vbi2r
q8Dy69ZX4tqJb5pnn1AlPd8l7HUU592ym42eXPPSPWlkEkQNB/eLTDJ/3xfCeLfBSh1xxLZEXrIy
lZso1aV5fMgSU0V9A0bDzEjxC4ohnb6XvqYOpWHdmXPq/xB1f6d4J8FGJAxbw1iORB4hzhzH5Lrg
SDsH5LdMO+6bjjyn2d51EKECzAebHDTP0t0UV5jNS7bxGDHot4GaHvqYWx21DPmjhjEjrCcHNSgS
EbKthbYwZTTNPcR75Gi+q91Jc10u7QS/ai7KmxmDAbOn2uypwLVyB7Mq/dmSFXoTx1nGQtslWEKY
xBeEg81EZIdLCZYMeQJQrEIqNp1peUCf5t+qOWF2BoX4WDgZyL4S+5sYGhprQr/3PCZywzAQUja2
yTuKxJx0ARR/FHadd1toXY/TCDugXsZWkNN+ffuVIIo8AONQlaXVm9YOb50JXDhV3sGyZ53QiVb9
EDMbq5eJ9bTASOH7o0cYKJsc6BnwR7jQwA1o3iMWWct3sOrpTnG1cOLOr/AartIEauDaMSEvX4dc
bfcbjeMddD8G8bNp7hjwoMDLfGiK2WC/F8MMpQ4KYkjNrOMTBWBW7qAjhaRFziT5EPrO3TK4B51k
TugSVnZdJklxT/9BiGgkkcHbKQQzt4Ok3gZ/QCrP1v4hbLM9+V1XElyoSHHLPfFzqjmikaCujqCI
xmjSOuOBxEQ6Am1Pdvwszy5RKoFAM3Jm9BSl6UJ8Yut0bMBacUbBoB7WIk0wn3ffOa9RihFgz2xy
zasTaTKqCMFkLi9MeFB7qOnGxBPyTCn1RHY8kSIoSK9Sx5xgaa8Ujk2KTmbtmJOPWh/Vavzm693N
pC8miE7judZY8lAJWXtySrxwsk3vJZ3ppmMMryNfeCo0xth+Il+JbIO1MK7qJb3OtPpNti6k8CF9
7B39E9Qo9d9CdVQnLVqHxngzU4BypqqtHwMGz0gkvckwvXqekXV9tm2lrQgfPfJ36HpQfM/tiPjG
qS7eIiEJNkmuR7L14m9KjAUOSKVA4fnLdMFpTlxT6cUxbSc5TXt7sBY67RAKOOPM9qEYTf9Ss2BJ
LKd24/DxYndEup1KIjB5BhxRYCYAgT2tGaqXJYkjLlVLYGZut3fIKimsdXrUaDoK1Pj4x0tsxV6p
DzsA9O0t7CHvxF/4r6L2Po3EuFg56SwF/uYzuqrivNhsrshkPuICJMQBVDoWJGe0yCDBO2eX83nN
XPzlQn/u2ZKYW0uoMsbWC2zrJAR4impWd9T2TFDlZbp9MGwq4WQwWBKcuVfTMW9QlKruG+rf88wN
T5hVK05Fot3E/kCtUzJ/yQlXaXUl95gg3Z1bOOW5tWn/db4YQuhzCMQ5xYUxaVZ9oh6g4fwQVcYd
Hy/2zp/rh87aAOzV4p5qi5BHV5PpgbMLDURSZO8mw3rJsLNfyVhDBUzqbJiUJthC0SZ4giv9OOOY
i3p7HE6wwgSdC9lgbcJ4PMX+AykFtOHiKQvTZvlWkB9Dj34x927R44OW5vfYVvrj5NlF5MzL1If5
2Ew/7cFVj6x9RuA4UMuASoznvqMZJfQ81GMNDAwoRPosWcYoUxTF0XfqG0uWQxivpjVGRjaRNOom
euUGuUiL84Zr1f21wee+tO+D3jTkwFjmxpxd14+Coegc6kuhvTdO1d+5oiSphw2PtEPXnTEd5/21
yxgsZA6dpxGCm3OvWcnOrJblO3UWj1aC2wAPhnfXTCZJhzIdP7TM+Ux6Zm6BD3sMz4HnP6yzFeOv
d6c6bDMxffVme7wn9ctab/vZawA0uVVzoAtaYVKWxHOtq+/st8GxiyEzm6PWIIY9zJjl7pECE9cn
Yu2WjCObKSibwTGL1dOS2F+pEOzHDjIucrZFHnkOlp3TDzqHK+958pDSokgzHhNoKiGYlTuPZM73
aobZgh/eY6JmGFlUckjXriaDoua6rGmtdlKlV9QQct4jNW/CnnitEfwE60/gSEbFIEQnwPdgSHDD
0wujpqmYv9UcbijvpgbUHOPL/rlvre6q6zwPqTSMWsQmzLkPCyiccGFdeHMI5zFvp8wWT4pf4EQe
KPuXsQCAwGMc0zSiQQ0wo8bfZI4tun/uHoAj7SQPU1dn12vbttBVaPAgrxoTKiYGc3B+JIOzHoJW
WLHKvOHSdr8x38PZSH6YPLYewBt01h1Fq2d5SNM0YpdxSM6P9tgCRK5F0WK0XITHldD859IY8K+n
SY58LiFONqKntlyWQs0FJvEq261gFCCpDBy8Z8LdQkrQqo2U2X4yjqx3jAgeFo2yfmXqd24LR0Z2
OyLizuLuYU6U8ZLnVOAojbbxZ2/r90O3OfHLTnmXwe7ZT1nLmvty1dSLhgjgbKYdfZkNAXbTL5p8
KVpN3GIhWg5G6+k+h9fBfBhws118Leb40jNzvSL92PiOkbU4y8FTDCJNmqGzMfKUNjXLalDZXg1E
aUjTKIN5zEM5WexY40RXMDDJd8xv6fBL9hO/N8urXDcWmyH6ZHOlK0KlZJ+Qv1QM92syIItyltbY
MaOcnwQQ4HNusVTWZbp8lm2lvxHXRaG2OoBg6HT0t6nvZ0mQ5Fn3MjoELU0au27SWGxm3FIRh51s
J5IhP7Ta5OGO76urPp7dLWJM7rDGFdetjuCEyl4X1w0owa+oDiXCqhmbKOpNK3R6/GRmJrWHtuja
W6g53rFKdTKb1NoepkFYodkCjUZfMMkbD2XHK91b0CTIz54E9d1133QT8GGqf9qZLl0aDcxQijYB
8BS2A2YZ5AoM1c0o/Q9N6TAR9Co+OqktI4356I2veDTQIaa7rDNP8Gi8+3p2ZgJlbXV2NHedAgcK
qoVwkZvGx04DW/E8ILy8QeZVXGNX/V57M+jleBH73Fvek6UiD8zCGh8Trcb8Na7olfXLs5aRmuL2
erprjdXcadzoh1ThnlP9YpzAT9GzaYqapFoY71FqznqEENQNpN1Qy4q1f8tKuKscFdbj0s8O+kp9
GO89t6EPrEPVimrbUOVlthmPL8Q5RbldNAX9LFVca24XTTbjG3qsOpVGk+71wlvJaiawrVj5dxE/
DOa83E0Y+gFCFs/+YLyaCYs1Q99dhncxolPy7tdY//2EgcfEKD0CHSQiONbN3tAL6zhZFQqI/LJ6
iOugYyJ2GMWKXHW9M9PMZDTevQCdye+RghxjzThSWMmDQsH6TZsZgxim9moKZDhipULeUE8HtAhp
QI7Fe+Xn3cM0dg8oxwh4FI3H1q5vB8G01O48VGbIVIz01NXCuLaU9sPS3PGmMeoeWxMh3xljMBo9
vvWK2nWETz5fq7adT33Z/U9g9h85EzZnOIPefz+2fv7Zo5eRfxpc/+NnfteW6V8gASAC4yL/Q0H2
T22Za36xwAQI9EGQK3Qkaf8cXGPs5R9IgDAw61M/bFlQv2nLLOOLCwCW1ouNch4Bh/vfmBM25dgf
9PcGyQs6WRK8Q15km5H/eWqN0GNc4YXYR8/jPF2lKQlBCerkP3wn/4HHwCNslc+If9j0GY6Lv9AH
4hEdsAl7/jjmNZJdJXwOsHPcfKvRX91XDgrfEjE8/IEV48Pfv/Z2vf74EYF+6ib2Ag/5gI9IyvnL
R0xhOELOx1ubWH5TsF4NE309nde1RXFhg2neE79qfbpLzFeGdcl+zhqAHqocx4zKXl+DZQSiJinr
YWBp3XncYjUHL99qnBI/llz6djewJNyMgxtfKnjm0f/Hh8AxDvDCxz5u/DWOQ/RWa1ZyZcixopWd
LRTplVaBywM79bVDWhPGegHhUKsWhZnvF5Vt9CJgoBCUZObP905tgL6kS8NBENYBzoR1r7wCuauv
CkY6k/5UZaOExrhK9ALk2B7+/jNwy/7LdaCxgReG6TWNsb/ADgbYMOPiTj4o4XaKejRxnNT65eA2
+effv9KGfPnDTf3ritNvNlF3gDZGEvLnm5qTwLANNvyjwtWMKggyn3S87txLs3sQNobav3+9vzxE
v17Px79iMU7eBlLbHfgHtIWhD3VdMRw4otbqH1hRhmAdkdL//av8X74/C0ot5ACP8E/zr7AIv2e5
KCfNO/YGdA7UDJ+t6WfHYvCe/v6FfsFA/vL92QZRRy4Pnvmvi0IOR8efuAePxsq5fHUHEPUEbR+W
hQu3VObWhkmRRwKXLC4IJ7zrtnSY+OR6fEnHer2qbLt76BcHPZmjAEq3eiY4oOrErySb8QlD5XLI
uDe/qgS1NPEywsILmU+AmqyEF8G7DZ/ZM7LjYDjDy+Ss2fHvP6Tp/YuoFkGKztIALoeaxrfRBv3x
qm3C+zFd+/k4bRh1lCFMlje0Oq2qYt9AhiKEtfmcyx4A+4Zi5+bNjwDrcYEyE93TosF7+ovejrAs
6pwajaZRZLe2v1jf3A33zvhu1+uT8aj7VQc9CMBV2FN8PRmi8PcpxgVs4+Dj06Q2qPpByhfJXs9V
8o3lrDg6Eux8Mhr2kY5Wc8Xukh4rkP87M3GyI2zuJWw2eH2KJOkwmI331G9o+1yjb1CTZiYDJuAf
KRtPWKFrPZEvANAfyFYXqA2Wj8axPKjYsXetMihdrXYMIXcyhZN60hyLvimeJfT9csPwc7DX7my/
XX4sCwQub8P1wzQwD3ZsUbnnTmqEK0eaiArTerBx+D6141C9wDIoPls9bVAaCX9hGkX6MDiDRpic
CNL51cVOFblbmAChR+Up3wIG1s537pwtdIBwwI1BXmXTHS277jttPOCU5BRoW2BBSnKBtkUYoHvS
IpRImKjc/lxVDBCBUnQ78AmnWWn1LWFf4DtnpIFU9XSHNCzTnDKvt+8zIqGaDOstVgHZDAEEhH7Y
IGQDa07FiWSb6traAhm0X9kMOsagW33U4JMuivAGwf7CUZdABwwJ3mlcLfO9j53hnhCEgbG1GJFd
uwMMF2tfp8RD9FtQxNiZ5nuzhUcUqQF2lKZ/FWyV3VcOoiNV8zxxabBX0FFNjhNpFGlqPhgxYTCs
beokAWoGiwYveovU+2H2XHOaa+3D0pc3WUxkE16yIlJJOdKhIQojrTD09IKjoQFiViQWXVh/Th7R
1tzEifMt3UI1UinFJd6CNvLeeaF7i2yhrunWDGS1brEcEkzm3ux75s3zOJ1ru/CDRq0EecA1DsYc
eKbcYj5cTi0sUUR/6FWd06Ju5ivNIxiE9mqNSJWwEG2LDWm3ABHculZIUA8YPkBjWNbZjNyIbQgn
fuI5JJBMGWqkhFiSfhi0K3ttmmu5hZb0TAzfc05V+FkGF3PZr3wTYeTt3cpsgGVq0AlAWXTrxLC+
PP4f9s61N21lC8N/JdrfQb4bH2lvaTekNPeeNG26+wW54GKDsfEVzK8/z/jSYpLQNkY60dGx+qVA
xuPlmXWb9b5LFu1RzJDtYvRgoVjAAUHeLjtT1iRAXNMFhJ+649ONNA8mca7NPs+B308NMyk+q3m8
vliSZjhf5Bb8J1AwXMVSD3xNuiARM5by84y6s9teQcaedjAcjr7h7C+RIWe2zC0tbCMDQkVptgQj
vt181HIak6vCu5cWs9UZpSM0syioqYLczRvJRhRceWS+yROQZ4BiJLiaBxn4ec/YRGXicGiEWTHq
GQOSKYm0oG1KXnzL03gd3kCk7w/HArS5zQuqk0IqW1bKcjD0ZlgOeQsMT5Gy1RkZYeWMJ44vTAPW
zTXUdkPFlYrLbSolD5Q8aLcKG/WmoNVONlyMoc+jvCbMHSCY66HlS4RtgO0mLqdkbwEXmZ9K8Fag
m7C+SfgXHJ64t4vFGu8kx+Wj27D0BvYGgGQUMkcRhcfAWTd0HLrzZ1r0eT5XF8OFtF0PvR5+YU9f
FSN/IavnlKEvyIxZ2acwTfzziMzBdNtzJaD6EGTOYx6Sjivba8MPQbRR+PiuKNTVjepuxxdmEmO5
1qArTmHloZlfGKzOrDjnyWGLuRWkKEM9U2HBTGk8qsF7c7s1V+TLOfribxTLB2lG+hAQvMpMIBeX
Rnme8kg9Q3BbqCboHmoH9DPVcvVbGcXAeVNCmJcqW45/Df/UMrPxBb6KfroaGxalXH58kRusV1kl
U4EPnH/yoNQ7U0MlupgDZ6FJoK4pnDAso9E46OmXHOT17gpuAA8Vh+nQXnO2ONQLV/8CRR85aJCh
6Z1kQnwGxCi7iyU4EGMaLH6mthE8PiQN5H/DUTJXiP/xF9VLfSON0gilIIMZuMnViNwjtXfwDVL/
nPtzsFLq2IXhN7snU6pQUJl6b6hk0M8owHwfjwMrB645y0fxKi/cEeI3F5NYG0TuVZwso5zVTFad
yh3gq+kyloaxCsfHlcUJ8ArNWtDLKBgomntDDddmuT0vzfv/EVE/QUSBcheUgM8HrA8FiIhg1gpY
q7+pA1a57EIMB5Qh4aPLJaleU2kty6JBMVEcxrAKShsslIhXwUEB4YZ7UILQ7Ee8KvUtIkzRORMy
S5Ma7Q7xKlGcLnxgixhI0yBPE07yjqs9ztayp4+j9U22nM4Sn0TJ1x1pPBGqCq9vx/d9dIM9Osl4
o/rL1YYbDObUB2GUM8v28hvPoghjevhW+l5kSr36ANZDWcHJhrdbl/YiogLr5Osw7lzPdar/5mB4
eooqGVS9DZRFpH9JygafLhDbVMJbgfJoS62RXtAPVFIl2NSnYURRwQwnUXPpWDmCq0oaFYMgczx6
S3rLqyzWkp52KRkQKPm00xvH94M5Ct6gZfz4vojSt3PF0y8SkoHwo4dQItMnLwrSUyVQYDBSY7aw
khs9vKI1KCpyyv4ychcfIkuZ5TEuY5Cb4ZBJYKQ44ifwCTLlIpZX3sdi42eX/jjKqOTLYVh5C2Ot
ry4vzVSfD3WSfTcDGZTKF+w4Bbi9GbW8g1SJYXvWNfWWTNdqezlPOfD4sKYYWQvO1HwGqGcldC0l
1BQ9xl4y+t/SGrX6E52IANR7afHvzImLOyfJOO1v4Avi2/ehF6T3lBS+5EeHB6pbIP1ED8HyKO8j
M8tJlTM+NIZvM+dsSn8ljd4sMOGZhC9oEC6Uig8bXP01gD9wm6JROkph9z0fEsDhZ6skefg3h+Ze
5RTPp3/+oROs7GiD71P6jcenCRSQEoOEiQX/Hxeo1PbjW30D9UyGsJbPf0kIE7j6UrEMQSQEu4YF
Ff1rMtgb4ccSUC1gP4ToGJtKBqypXRlYcCPKULvAX1YtkeqGO/vkuZ1w+CUfbyGADTZ4cS2D/Nsb
QYHm0VKAACtPSsHU+5hqSTeoYy8vjBY3fEVSgFSymtNk86+ZE75oOwzwI/CRgXFVQtjfDpLeJxku
FsNre3oZik5sf6c1oAz6ukjWazhR5bX3+AOlT49jcGfCyxLXq5OCSjRb6ekOiwDUHllwaolI3okL
se7qg4HR5yADIK75Y5G8rp3AcY44/ui0FjSpj/sr9F693zE1LSlYfW5DNEvyu7pe247AjRWueycp
YBs419E0XaWLobgeuQfgQnWK0Mx6sVRq+BVpRVqPdLcNKrYBtloUbCWFvbUgKzBYNAeFr8wq0F5F
6WwWWAUKxVOGQvz0hEaQiVlJpSiKIvr3vS5dwAbVOvsGZl8rTzEGELmJi4B2VxdU799A64BLFter
2wUqnRt+0U+0p+Quhh5sst4k5Tl3QwV8QPhZyD1UV1sKAwhZ6F2GV/771vEXFMb32OvU9fxpGXV5
TvJUcPbcDxp39PH3dbwhggrhT7d+KIKw6t5V5CH+/1dLSKUTuPNl4xSW96n/vH7Ax7du3at5qubD
d54T2+R2i/KLop5m1Rn3b9/+ai/t3ViAxYdH8mMmf/7RmueOLfjJwMlib1xxENp5XKgVw3YLUQrx
sVDdB17YQdJmNoCikk3YdeRT2/e+hfEesVEVd3YeO/TD2J62ODcrF777yEHgTFIP/uJGBGJlmyQV
m/8/mVn47ikcWh1Dx7fXduw0I4mRBzSdaP7fYeRa55yE305IsWXLr20+KUsWBKZdhcN5SOxN28u7
Ch26jjxywnjWnjKGQVT7dB35HRL3vGYcIXFZhc2z+eDlIj+f2m5rAdYppa4TPqdlK5TdSTPDcsqV
U9556GDq2XtaRINPrLlVB2GE6/ayoJQKQ991wpePdRMEsEfYL5fMLJssimaKpZCFE9J88HJRXIWc
5T4SM/RtRzAv1/RfamkPUWZ3hDlf2/BT2sG0eXohDkUiXm8+eLk4ru0ksSduljhp2lrTtArRjiES
b+J6M7ud14MP7wg7/NrDFlAE3FrZdLQXHHtdVza92RLxD6hgM1gpdJnizOaDDkJn6JCa9Wakeuij
TJxq0j0dosg0hGlu9fJJ3zhfY3vPe6JkzDjK0Lndtlt1gN/1Nd4465N3Nl2QXa9t1hlfRDrHGP/C
iROnaMYqXyXw0CMNfu1svEnLjJEQFsnAY8z8nzBeNCPV8xb5hM5Dl82MTm1Iq722NQPVLx/tBs93
S3qeUOyX3MDn2OK7Drvw8UjaUY1CMvIISvY2dujI27y58lVWqaGur/L9T/hPO4rkzg2nzsl58si2
mYYos+46+w9hlronTy1E2OTkI9jl6gaPF6IY/gjxyD3Sd5LEabkUdRq8q2ye5cvr+Eo/prbbvDmx
EOscXdfpHsBJdJzwJ4/IZi8KVkkEHWH9PdjYnWCWtrdmnbXrKpEHJ0lPnpw8Z3lHWHwPXjIJqTNr
qZU619Z57s8XER18m09lmr6fUz7OPzWnsE/9WTu5Jn4x8R07/us/AAAA//8=</cx:binary>
              </cx:geoCache>
            </cx:geography>
          </cx:layoutPr>
        </cx:series>
      </cx:plotAreaRegion>
    </cx:plotArea>
    <cx:legend pos="r" align="min" overlay="0"/>
  </cx:chart>
  <cx:spPr>
    <a:effectLst>
      <a:outerShdw blurRad="50800" dist="38100" dir="2700000" algn="tl" rotWithShape="0">
        <a:prstClr val="black">
          <a:alpha val="40000"/>
        </a:prstClr>
      </a:outerShdw>
    </a:effectLst>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size">
        <cx:f>_xlchart.v1.13</cx:f>
      </cx:numDim>
    </cx:data>
  </cx:chartData>
  <cx:chart>
    <cx:plotArea>
      <cx:plotAreaRegion>
        <cx:series layoutId="treemap" uniqueId="{5959B92C-FC83-412D-B022-977FDFF556C8}">
          <cx:tx>
            <cx:txData>
              <cx:f>_xlchart.v1.12</cx:f>
              <cx:v> Revenue</cx:v>
            </cx:txData>
          </cx:tx>
          <cx:spPr>
            <a:solidFill>
              <a:srgbClr val="084C2C"/>
            </a:solidFill>
          </cx:spPr>
          <cx:dataPt idx="0">
            <cx:spPr>
              <a:solidFill>
                <a:srgbClr val="084C2C"/>
              </a:solidFill>
            </cx:spPr>
          </cx:dataPt>
          <cx:dataPt idx="1">
            <cx:spPr>
              <a:solidFill>
                <a:srgbClr val="119B59"/>
              </a:solidFill>
              <a:ln>
                <a:noFill/>
              </a:ln>
            </cx:spPr>
          </cx:dataPt>
          <cx:dataPt idx="2">
            <cx:spPr>
              <a:solidFill>
                <a:srgbClr val="14B468"/>
              </a:solidFill>
            </cx:spPr>
          </cx:dataPt>
          <cx:dataPt idx="3">
            <cx:spPr>
              <a:solidFill>
                <a:srgbClr val="67EFAE"/>
              </a:solidFill>
            </cx:spPr>
          </cx:dataPt>
          <cx:dataPt idx="4">
            <cx:spPr>
              <a:solidFill>
                <a:srgbClr val="16D077"/>
              </a:solidFill>
            </cx:spPr>
          </cx:dataPt>
          <cx:dataPt idx="5">
            <cx:spPr>
              <a:solidFill>
                <a:srgbClr val="96F4C7"/>
              </a:solidFill>
            </cx:spPr>
          </cx:dataPt>
          <cx:dataLabels pos="inEnd">
            <cx:visibility seriesName="0" categoryName="1" value="1"/>
            <cx:separator>
</cx:separator>
          </cx:dataLabels>
          <cx:dataId val="0"/>
          <cx:layoutPr>
            <cx:parentLabelLayout val="overlapping"/>
          </cx:layoutPr>
        </cx:series>
      </cx:plotAreaRegion>
    </cx:plotArea>
  </cx:chart>
  <cx:spPr>
    <a:noFill/>
    <a:ln>
      <a:noFill/>
    </a:ln>
    <a:effectLst/>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plotArea>
      <cx:plotAreaRegion>
        <cx:series layoutId="regionMap" uniqueId="{65821DCB-AF3B-4F77-A7FC-8FBED50573AB}">
          <cx:tx>
            <cx:txData>
              <cx:f>_xlchart.v5.9</cx:f>
              <cx:v>Revenue</cx:v>
            </cx:txData>
          </cx:tx>
          <cx:dataLabels>
            <cx:txPr>
              <a:bodyPr spcFirstLastPara="1" vertOverflow="ellipsis" horzOverflow="overflow" wrap="square" lIns="0" tIns="0" rIns="0" bIns="0" anchor="ctr" anchorCtr="1"/>
              <a:lstStyle/>
              <a:p>
                <a:pPr algn="ctr" rtl="0">
                  <a:defRPr>
                    <a:solidFill>
                      <a:schemeClr val="bg1"/>
                    </a:solidFill>
                  </a:defRPr>
                </a:pPr>
                <a:endParaRPr lang="en-US" sz="850" b="0" i="0" u="none" strike="noStrike" baseline="0">
                  <a:solidFill>
                    <a:schemeClr val="bg1"/>
                  </a:solidFill>
                  <a:latin typeface="Calibri" panose="020F0502020204030204"/>
                </a:endParaRPr>
              </a:p>
            </cx:txPr>
            <cx:visibility seriesName="0" categoryName="1" value="0"/>
            <cx:separator>, </cx:separator>
          </cx:dataLabels>
          <cx:dataId val="0"/>
          <cx:layoutPr>
            <cx:geography cultureLanguage="en-US" cultureRegion="NG" attribution="Powered by Bing">
              <cx:geoCache provider="{E9337A44-BEBE-4D9F-B70C-5C5E7DAFC167}">
                <cx:binary>1Htpb9xIsu1fafjzozr3ZA6mB7hkVWmzZVuyPW1/IWRLzZ1JJnf++neoktxS2SM/Dy7wYKPRBXGp
zNhORJzI+ueX6R9fittr99tUFlX7jy/THy+Srqv/8fvv7Zfktrxuj8r0i7Ot/as7+mLL3+1ff6Vf
bn+/cddjWsW/M0LF71+Sa9fdTi/+9U98W3xrX9ov111qq7f9rZsvb9u+6Npn7n331m/XN2VabdK2
c+mXjv7xIvyfF7/dVl3aze/m+vaPF0/uv/jt98Nv+WbF3wpsqutv8C7XR0wKpQw15O4fffFbYav4
/rZHqTlSVDNNBTV3/x7Wvrgu8X54XaR/WVel1w/Xv7enux1d39y427aFOHefT999IsNexC+2r7pV
azEU+MeL91Xa3d78dtVdd7fti9/S1ob7B0K7CvL+6k7y35/q/V//PLgAXRxceWSaQ8X96Na3lnn9
nBZ+0jL+kTG+lESw71uGyCMptM8Vf1j03iS2sO76xj5c/QmDfH3z0ByQ6xc0x+7lczr4OXMw/0ga
Kange2uQg0Dx2ZHwNRfMv3/gwCo7GCW9+S+i5OuLBzZZhfsFbXK6+d+ziRBH3DdEswds8g/BSxwp
abj2iXxYdR8jpzfXyX8RIPevHVhiFekXtMTFxwedfA8hfi46BDsy3DDB+T1YwfsfpxEtjxTuSEXF
Pouoh7X39ri4HX/7aF3+cPV7O/p+Evn7zQOrrOL9glY5/V/ELEGOKGIDKeJe6+apVXxzRIWvuPTl
3iq4vy8s7qOkKNLKpu3D1f93q5x+ffPAKqt4v6BVLj48p4OfixVujrhUQkhO9lr/BrUUUEtyX/v+
Q0n22CoXt8P1f5NIHt47sMgq2i9gkee3+LgcfvLkz5bD5kgSLrXgep/mD3DMmCOyxhM39xElHvxi
HzEHRep/3tb3wezg9SeS/BoV8OvLB4V8Dyx+LlAER1LxFQBKfYWnx0mFMnIkpU8JyuCHVfdmeO1u
Y1s9XPveTr6v/4f3DkJkFeoXtMW7i+c08HO24PLIF8wYco9JhB2kEnXEBWdrq/i1W3kMWu9uqwrN
3+3tc1v6vlEevXpgl1XAX9Au7989p4SftAuSCeNaKyb3ej+wC6X0SGmfMaYOSq733XXy3D6+b4z9
Wwd2WAX6Be3w7/95Tv6fs4PQR4JSZA5f77EKiPQtVinhE0G/l9T/fd0mYJG6/wa1Hr97YJlVxF/R
Mqf/i5ZBD8iNkVzdl1vfFsGaM7T25vuN+7/T9out2vS/SCePXj20CwT8/2GX/8x9fSUJN9fd9faO
XXxEfz1/9w4qwHYevPocSbnPDac3f7xgHAXXozJt/ZInXchD3frNK7fXbffHC1CU4ohwITiSE3hM
QQB04+3+FiMvfqus65I/XqBFJUTfQaWQlGoKP2htv95Cclt7U1TbyHHMl1R9JXDf2GJGKfFV/vu/
f6v68o1Nq6794wVlKBLr/XOrQJIgC66IzAznRjEtsaH6y/Ul4nt9/P8knZiGytX8lY5a/WEehTyd
OfVcIJeCbOakbJrNVNszRU1DA0ubYUuWuN2Oyi+Oe9Y2L2VEevanTJb8wurCJefNNHARsrqZ5KZ3
Yv7ABzH82eWl23TxvARJPbMpNIM/xEHdZd1mUkk1HPfjTC973tqP1RANrxdnoin0vWrsg3xxegma
yI27tBT5iXZZGfYuH/pA13N3rAy2GNRJNuVhHFuRbbyZT2/EPGu1SyZ/jE+MoEu/mfKMfM76op2D
Ys7zm0Z7zes0lkMZjGM5vY4i28ZBE0eQvazLOQ+yKc31qZ2dWHYL7af6uJ0Z7vJW1uys9+P5TZPI
Zj6NvUpmm7KcJ+/MxwbtuYgWrwxsU5b8LfNr+9aILL5csnx43RRjUGe66DZjUvpxGLV2OM5Gp09K
U1RNmAm7xCfp1E1vnN/n1cYTburqVzxn77u67vRSb8aI2K45iahM++MyYjHXx76s8ninXUoWspmy
0lUkzCt/uuB6KSsadvPgnYqW2j4P6rhJVJghD1RVvk39wiumf7d1IVp+OeRVHjiuaB34Mo2G6SJv
BmGibVmkzgS1jV25q/3aj4MetZaKQ+klWfQ6orO3GyJL2zGUbccZlNkPunvZEm9INnFDlLYnpB1p
dM5cUkSbRrTD6jh6OVmmTC47b8rGPMhLNRbDWdf1fU0u6FxmHXeBa9thXMogH9nY0j/jKGFs+Til
xVy5m25surIMZL4sRfT2MQP/JHC+2Hp2aZzcDz++/vmvd7bEf3eU/N8X19nJ33+9ehi6PPvU8a1d
S//28KEV8L5+19/k/woyXycBB7C1H9P8B0x79uYTwHsC7w/p7A7wBJrGr0Oab+DuoAd8hHrre/eY
p9SR0Zwr1Btojh5jHgrwI0kZsNBwicmOD3bhHgE1BfEgNLpX5lMGzL2HP4pJA2cS8x2KOY/BsOdn
4I8/Rb91RTRmRlHOtEL/xrCBx+hX0MxVdMzlrU+jrjdbVovaK0JSD+nyQcq+zq+F52S7q5q5ncWm
Y5NMptCzEfkcV05UXmjZlOszk8i53+TGq5qT0ZRF+6qQZe3Ngc0nWX+WeZdNduMpVWQ8jLUW9FZP
du4vi2TSxbXvyzr6wkveqItYpU3Ng5KmLbYiaunK1wkl3Vht4kK6vA7sKMvyJdVzgy3HZUnnc1by
KvvLaweLdx6Z9Ds5AtXgowwhlCEgSw1YILOO3hiBZR/rSNMy7ROV+LfRaKusOelKUYiTQgwt4Gpp
4y4dwyWtMXsrSJSyaPf88hRdwdP1NTIhB1/rI0NRbObp+kvG/VYRld5kNOd5GnaWS54ExjCvyXZu
GmPXbVzSxSIJPOEtdfVmFHxuWUjFokZ+1iG9tHlgbcMdvTDSb3Dv+U2uWfLvLCo04ZyDnTRARIHx
pD7Y45SkHksc926U5wbCNvGiY93sCl90nASV65T6lEsSdai1vobbj22zriuM0AwdFTM+P1y37mer
rcf9m3iGz6lgIHXR/pmIiFVxMGZpn76uIkyOuyBJLPqu4PnlUYYciK2FD1qWGSHRt+mD4gF5M/XI
lPAbTxe64aEciZLXCCSvO7VLqouL1KOWIm01c3+Vt4QsSYDmooBSfnYnoCCVUNInhoDxQi312EkT
nURFNhN3I9SIkNvNVC0030k39q1AcouE+uR6qKAJWoWC6JMl8+DMdkgtqccfWAXw9FQtkiFrgu5R
EpWV5Afe0KmUZHNeRV8is1TSHdumLqN560Vla+bj2XcTXOR5+ekBkmkiDQGpsQYq5kzcP1BAbJZM
mrrzPiep06V3MnXJGhDlZBNMp/sxE4sI0xLFSx1MhnEoQqYk6a/KWmVzWHnUVVemTFAybBppHbss
h7RqPz+/zRVPH8cJ2k4iBEFRq4Hh4PqfmqkfI9+RZpk+T65zcALS5wT2IdPIpRdMjg/eVc3yZg2a
brTrR1rH/Q/s842yKFVaKE6U8QUXgLan2/Ab1nZzq+znqpAeMDwDei1jMMykm+U5jyRwv41RYF6X
mayAqK4uHZUnvpd5Qx40CdB2Rf45wVtVuhTDuZjy2pY/gJW1zj/QF5Sk2cqKwMJKHeSniY9VbaqF
f24jprxym3Uo0Po3zdKldRWOzdxgc54uB9yzc1PaeePny+xdjXUdnbbGFVkclstC5vMyaaouCipD
VNSFvSRecalKEy9lyLiZAInMy2ZanZHFoBQM8zQam+YHYUrpgUBg3XyjjCLgHzDuPGw34JlVM1RD
/UlLKzMZ1sSXcMUo6o1xIV20B2iP5j16Fr3Avf4OTmoa+bg1jR1Xza4f+Y9jSByiOEO1YRBIFG3S
GrsHbpFPeVtGia0/1Q5R1Gx5m/viFaMJn895289Qh4mGYvlQJhNai6BP3NgkIQB/VJdxs0TeiStF
tnxwXt+qCz9Va4EwiaEszHHey9U8tuUGLjQPWg6Xtcvy5cNSqBwlLymKNWml0D4MZCuT4CJHrbp8
8Mtpgu24zGZ8tAuJO39Ty5a3O6X71Xb5FKcoMJq75Y0fe/MY+PaulLYoHrDz1KvW2qCrZZlfT62q
mnpnBkeHK8Ht0r10Lo9cUBSlY2XoxVE5ncQCyfVj5VeR+DCQgcLJtB+jzhiayqJEeR4bDlET2tdE
a4wshFaSo7F9AuE8mquYmrr4tNCydXEwMaLrNhhtZotT3jcjgOL5FQ/RiGlgEaN3nThy9+GKrSNt
MpZ8/MiXfnXGsRcr/LFW50jeamik+hRlfIETjqzv2viVBrDAT5/fxlrOPolyrtVd680kI0ygSn4q
+cKHvvGMKj+Uoio7HnS2l96tbZIGaJTkbUW3LtI2fTO0fgzEqRNp423sd2ywga81OqWgY3FzXkS+
upq4K/w5QI+lhsvO90gaNnKZ7DmciCRBRkSU1oGIFF2DPSHwQzskqC5Ooyzv1sgfMA98DZoWvXXA
c8en4fh5iQ9xzedIUCvNy+7OBKEneCpxrqKkGptWvx/6iqCIlc4xFLHDsvqtQJElThI6TnDbKTcc
H3F3V9l6ql67Q95nI4uuokmtLs2adCndSVozvkJks7SE7ppiqNv0eJFzjqiLxnKtqensl4hOTRuE
0fMisQNk81EB+UibQDVYkFJyANUNr8rFZhV773cJR2x1dbxuoPN4v4buXRxjHjFjb1EyrSEOrFwh
xdUNEo2XUJTxdJLrJdvkbX5dmEyLk3QsVj0082jVRdRMeCpN+CriHJeq3eWedhy9uBt4G87IFxD3
B6IddAAQzVCcFqIIFcyvUO89tVY35VQXvZ3f83hYkapzDVxrKZbUfumIn7MqmDvbLB80q9b8WHqW
wiCTKot43i6lol28M9zrx/eoUh3UMeqMw/v4sABNqtQzcDExFvWKbj1g8yRl9QhY61CRYMG0iwj+
Qo9FoYoyFlBF1+nE60JZ9BlCIjEsw197/axQmF8/r4SDGPVRLqC60kz6aDvJN6UuHRehZtV474ZS
W6DDvrxliT8NeYjOMomrH8HCQTpalxQchT1BWiIKVdNTtZPMomqtJ/2u7Sk8pJu7Dg6F3A/9iKwW
Vm6j0bNTG6iCz1B4MUQVShaAHrQ0uqno3mjV+lG2izrhAwwQkMOlwywAGaD0EPjdVCFR3ZstbsYK
qpwKv0KsIIpWc8T5tBrCy1KKDzNnZrgktrTYicxz5KZcdWuf+ry2heEQ7lGlCOHXJACQAGWKg52H
nQ3KwdaLyTS/S5JZFVHQ9Tmvw2gkUXah2CLcvG0Sp2o/MCA3syRwrkmbM1L0fJJBjWrHO3dx6YlX
UZloHjajneIvJC3IyRj1Qm1yXdniRmTF4i5Lq0ocnV1oMb4WAyXTsvGzysg6bFA/tv1uHKU/XLgm
iSYbqJKU9CUnjppNVTlDw2zqehcFdvKbJQtAZjoxhfGUDwiGYXHjXASTJzOR7QyjvbhSRTeLOCQT
7cf+uDZjQiPUb1HcnXaJRmUW6qUYlwVtLVyxPp3yOeqDpq0ztRuMjvlGlt60vBuVZemHXhRxtOGi
YzSc0Z/aOVBx15qNSdkIQlQW8YlmvNs0lozLeWQqQo7pSBO2i73WT8i2zm0p3s9yiHPvvbFkmt6B
euTdK6/tKu8SGUP3N9Ip5d4veogrcK3W0qR9a6alyI+jFOzGbrHCL21gcstZEmq3tI3/mZaZX90k
rLbDtIGrzM2t6btxBC1ZgMLLTrqoaqS/QR8gC3UclV6uLgzVXp4fD6pmbZHcJn7FO2h5otx34tXC
7QCXXqhr6+QtRimdItuqEnWtT3sTpUnxspJT3sTbbIi7cXg5yihO010kyrGXl1HFeHOqMpHE/g6+
ojio0GEhSOtF66ejCWJPqKbbJJFbsvl0jFsvSY/HtES2CXMzCgDsUKe9/NN6vZLtKZxj9KJw5Chb
6EVfo+oyQTdzf1KvC6Y1Prr9RS9NC9wjBl29Cxfbiubz0jeGDWeZcnXMTujkeVqHcybzXh9PVUbL
IpBiWPMikV4KcWIukVSup2jGFCnMZGJk/Hoe67HWb7LIy8Zip3Pusfo072fjD69VxmVqgsaYlZPQ
rpNJ/kHHUeQt50IULTTlzQ0g+xVQG2T2uccjp4uXNG1SWrzJsjHzo+2YAQjirU0px94BWeuWQCcX
hG1JnMxpsyF1njl/U3XEk9WfLGYV1iuzwpj3few3TejQekOzzO9TZJCQqmT9EuwfJUvQNGat6UXS
QvqwTmjF1S5LxlVjvOhyfNg26byrqtQr5Iuhi30dmrGzcIClQr1x3BlX4rl6L2rSyQXqazKMQDRy
SRthtSKhaDIrmq7mobVImPw3LaZVz5UwGbgkr/ccTOFVuZ+I26ZBQ9PsXJqi0gpHn866CVM/kb0H
C4q+6T90WdWnFfTlJYs9TvpF0OmVn+l1yyksXS9XCp6FFThuNZ8jb1odTDlvtbycPVwrTLmqZhgo
HkWK9ZsRexgw7IOM9/I4x3nzGYRbgmsSIw91lUsRGR6K0YAACmqdUOji3nuipTX4Sp15q3BRN98p
o4fXuPC+xjVyketfmGbkrzhJnXd1r2pv//iDkvfPgSlg+SvN6hIboJWXDJ/zVNWpO04rPkPohi34
xUIQMx6n5AoNeGxNIPeGssvQwdXQefcuPq2omSMZ0DwZZvXalL2FlgZWFniE1eDYXAiaIxpMkJN5
LXrjUjJcLHRMms9mr0FbI4KAa3uZEpaiRwtrW6mRnsy9v3bnZG/avXuoKC+gHyVSvLGVuliFn9Sc
wE9j6tZlEpEoXJxtQ3TyfvFS0XdnkJSv6t070tLPPXYJIddvoalr8R7G7Rze1XbJuvW9Qr1lXPCH
LbgVeusRDGey04VJjSlSTEAike2Y9hYxbbJ4ZT7aEfZNB82az1TFFdynlahYIbwbUOy+bsFlr1/I
hvVDDLGPj6IiaziUi1z3X/UqTsb3fREXcbqrYh/fmzScxvwkb2dNu3O+95U0a02nj+9VbrLBYTtT
ynN8CTKAxeJZnebI8wNtFkXeo3LL/GFTN15XpSFp4wiLyyzBLy42XVGD2yxAGICygZmS/lTbeA3n
HvkV1/K5V5m/y1EsTvMZN20x2ZNOWFKWYWFEUQ5B1MagDamhPZ5PuqbFB4pGWVyUTY//z+UI3k6S
kYIqasDlFxdD3kUgBUaXYXWaxHb4oKpoQhcQzcvq+6MBlGe7iTcMCONj4tT726JEii23k1dFpj2V
Bqlq+kjUlAFv4sLaPD+5p5OzrkhctuuTAv3ul1m0OFR8UmcJ1HHM72KmsX4BhbXRmEfLB574duze
N3xMRnXS7UWfTNxCRbyelhwS5fHYyq1aCAXKdU6s6qNTvXoN+KrVxff8qd/mIzRAe7bK26Upw4eD
g+P5JgX76AVpsYBXNoLllQlAWcyqfMVr6vCEmunaww6yb+FXe5JlobJw0a6vGhex0zhqFnzHsqfe
IrTlYA0bKXJQlBHN0fpilpnbKuwKEBPyvMzVGk+dGFOQ8HHud4BKrqIZOa+dgTTZDp3tqrw+xQC5
3LLez8HFZ0UV43U3F5Dy44jyLPLOxqh1Lr0wPFtJStsj3b3SecRV91aAxpqj7RRl3pzs1FjLot2A
uqBKBBokkPokYk7RkiMZGhh/8cQCqVRVrmmjlNHqbo45CufbazLrMJe+4ClJ+XA2LrKM9Nt86Ufv
yqGYBquw1I1Rn4C38C9vrBdoIBNklSGqKw/gj/ZyZamKFPUqKmtT2rH+pMycNPSzmApVXCjV1HO0
E8y2nffXmNJsirbIaLyQQVuA//ZCv6DafQAjOebdOxI3WYy5r5x5Ml2OGrVNc2OGdGjYxzbyQU0c
u7wfShN6bGnzD4vombBBj+wwodmn1KKm1Fqanvbw8jIzLBxw0dNDoEdMpqbNvSR7WzZ1BoI4xFHe
eRXrDm6KYljxz8zxiiao/tfgTdtyfaK6Y++jjK3XJCUenpjjeX0w4mAnyi0693W2kRZRjVCOUS1G
F0s303qbIVDXqDTleufeZVFTAomMxLAHI4A7Cn6FUy8O3TQ7rgPKHPHf9ImORxuMpAJhL+YlMux0
bKo1ymNvWenAFnMifAiUZd1psxD4tyCYP1yAt1x3nqeYNH66X0g6g5TWwFW8q33HVqXZojHWr+pe
vM33gJXvicYGxzfhDV7RrCRk65QTYlPGZWOjIGlU7131qawhczdiijecpSxey7hETFhDD8W6rf4u
4DybI48EkezXIK/ZOmbcVOO0+qSOFpangUzaqiy3SVYgGnd7hYAHXkEvxylTfC/G9F52njBeaP8H
xNdBQw8uB/gAD2YAN0W/oZWTDjME8NXsKrFWYdc6jidEw2gBsw2OGmATxQDiJQmGtFn3/oPu7mlv
ty6v1lkNWX+khPUPGlvXT9YbWw2qag+NGThg7AJ9ACLp+aUOCHREE8HpaKwFygr/V2tb/+h4y+jn
jR+hlHzwEZJP1oZNHQnxWhvMrIDIKlmN2qcZLGyFEzDZPTg+v5enFALOPMJ/fIrD8grjcPg5e7qX
aOAM9G0WXxlM1dSnVNK1Hm9b/FRru1iUzj/S87cL4hQsiAPlG4ZDl+aAV8wTR2hRkuiymSokijhH
xj/Vcw6Yu4/s5wWkK233d9O+SgjulkhNmc8oxlEHC05FJuKqK9TlPWKMybKS9rPis5S7SbT+sMvq
aHFv+5HPOC3TVyuecwdo8NpFIB/9YEdPPR07QivlGyQvbSR+xnA4FpsN8UY98+ay2AfViLoOMT71
eQRcT/0hhQkS0c+ITMORHFBaeMm6kazmTb+EQ4POfidLbiUJJkDLHALqGzyO+IjoRTpz9JPhuJ9n
1XuYfV6IQzPCcIJwIjExwRFZ/3DKirzbdGzyhoukzVdkWu4KobqVVf929vxe4Hcszw2Vv7eeJDDk
+k8pdUDO6gnVCPNJf3Gf9qY4abKAWCCrxRGcNP4pak0SUP4UR7URGDjVKL6BAz5GYKKHNLvYpyUU
yas1dF4gLqq2WRPG8wKu+PLITeEQGD8JRCDOowgwmgd85jgvU+oWiXNkledyGeqy1PyTcgiYH4Xg
t0vBdD4meDithybzEOpwLKuc+1jFJ/tSZJBgR+BHrCnx8bxU90cxHgkGrhBLGRyQIRwQgp8jPEUY
QjCX0WnSHruFkaTdMjmtpxF6/G63t3+1S4UZeogTbuBWTVBGC7rFoJNxR8tzZGscwYlDm9dgfl4y
Ae6BvCkjifN0JzNqA2kvIpyFo9McRgwjp49t05Rog1zGRNXgYFi/sC4klqi23PhOgmp7ySdquXpj
9vO8XKEZ4a+jqqTN9CqPk8HgyEw/qJSCE8lwVOMEjYZOy03hZTVMcV+gaA+vJTgSNq6ugArdR7JQ
dzC2bzXykQC6cZKOAbrRGq5lwDgwDwWtZT76hIr1eAAllur1BW+LtZjz9rVNjeEoop3UPl3SIG+7
ki5B1TpTpRtV6yLrgwfKo0HaTIL7QuaugsJkbYR+l8Zfk7huBjBL6C1yxba1b7FkmaOrGM4IphVp
HBZT2aKfAp9fZMV7jrLX8As1d0bUp5ki3koGtIMDzzrv+zAzzi1vNknel6BdwcBoTBmCLOl8G4Ve
b+ORlEHDcXqIvTGNqfW4jRslZPNOzmZY7DvMG9aJFmpAwtSF7VoMEd6lNdjmeINDSDhOsEtcQ2kW
lhRF518zWs/WP5NqGtknKqe58y9Am0X128qYLGfbrGo9gk4YwDF1IQ6zYpa+rewM227GiS1uDogH
ZmIIUZpR6YezmKPxZW7arl0CjKPHFN208R3momlC2mNBim78rEiZz8kmEii4q6DUVen+rMC8eH3g
70du91jUYB4eq5d+CdzOdlVSKNajir6rs0B8r3XiXHVr0tm7RnFXDVa6yNGyOYMTMXUwOKJKCiSL
rcY2WJ6zYMy9wbwDiFv/qq6MV+zKVMYySOJ4vJJziqOdczpGx6kY+ElK+HJaumk4AZNhL7VTLJyM
TC502hUEnPHg3kVw6hMRS9sGiL7kc+bq4s+YpHYzGRqhFy14d4xmF5QSq+S5X5NPNkc4VmOtXqox
rTdaJAmsSzy3y/QktplN+9dLVnRki6q82/oz4QU8VpVfkrq/YlTU50548Xk5tN1WtqCgcfYlPhls
bzaJGf23uk4azPXr9CZtm2hTJHUczKKqNjIyzZm/sHI3RxWmwFUtBb7an6tQZJXejfjKUx/92Gc3
2f4Y5x6im8bkxXE+0WIJZpPJXZIRe1ULcPNBAYqmDTxu4/fjtPjXBY7GopXvy3ejz9ItYR05E8Qk
aWA9j78UoOl2rmvxo5xMR29BHqY4r9Rxc0Mx6kE/Q2t6ObAsSXf1XHlb2pbdZTsIEA6Agk07T/0Z
bx0O68py9MNImyjx/0wHZuZTnEDov7RMZHRr+7pDm5OWyRwM+J3prd9JXW68yHNnpcFxhI2gXfYW
h5dz9EmlPccBVtqEkZ/Ya5K19ctJC3LeKrp6aCTXGWo8jGcTytlXROfDKdhv7yzNecI2PtDvho4j
r4Jl8WmCtrn2Po51M942njeFLKXLddtmluFEQY3jg8vSwnOToi4CnJhy/aZexnw6U33cxAGhdXox
U5ycndFShcPIC36Gn28U9ZmbGrdjdc/OZVFOAZjeD3Kcv5A+ii4ERfgMbd9tQC2SNIinctAbOVu+
FbqrLupEuI9zPaEmIxhvx23Q5zgDkYcaJ6LrwOu5uMZk2gacFdWxBVEQMFJ2byda5W/bZO7yMO+6
+H2TzM2fbqpLFjRTP4URdXUWZNgfJq4+ODcE3pQsocBB7DeGtUkRVsuQXWdlvQQY8pQf8MPeJqjr
gb41GCKc1sz5ON5NojORVuK69dX0MgPfP2DsIHosGnVB1HsNOtI+fql8z6ZBQXNz7TwUNRsf9VkW
yKxt3qhR5TsAvVKhSRd90tH/y96XNdeJq+3+Ir5iEqBbYI1eXnY8xc4N5cQJYhAIIQmJX3+e5fS3
d5zela59Lk+drupUdXVsJvHqfZ+Jkd1CpwNtx8LkYzgOYme0DXatMMmrjKrHBXPy4zrxNdtNInZ5
O/H6u8MN2TGVar1BG+julaSkymU8gbHtapX7zJhDQjuxm9CHBnmdzvSRDop+jayIHlpZjV/Natbv
Ggu8NOkYXscQFux87BTlZCd1j/7Sy8kymJMn5+7L6o/DLuqDCsoswMln5vwYe5lFRfLbJgMeRLpk
n4KYKcQ8tLuOaPkIbVeE8zfhMfCHaNsm0fwCXG66pQOT+8D19J5zuV7VczttbIqSizGYN+ch9tVR
6ni5HeZKPsgsi79FnUFxCCdnzrHjeHmAad0EkdJXVqbLoVlsNAK3yYZdlfC4xHgMhSVgD3pYPVmd
qorJT2uYsccM0MnLtGbqARt+vcfLll6vgaegYUqabU8rcgLDHUSFgvK9zFY3RFjvctiutTfedoDg
b2s7iqmAMsTfyqWdXoTScY3hel1Pksb6CkKlDugAHx/qaKUcNZvbTZR22T4A51cYscY38BpEQOal
9+ZVITRoJ0fitaGF4xa9bplqQNrZqSMRxOobH+7/XuU9FdVp8UR9C5SlP3uxG556JV/xMzWA3iZ4
mjk6mFan7dnSFvJLIoLmSEcRftFepZeiZ4t/DamPfmxCY6YdC3s4IygLUpgDRpltqc8HeuQsEyV4
3HjNDfjuMqMrT/N2VdTkPKqG8+iB779y3pTiXif+ouRpogZET2BlsByGeOI3kY29T+lAG1EkVrJx
w6iQd23dGL4B5evYFW+6sSk9ORCIEKsq8Hapmef1zmWD1Gx3aT38kk4WySsd7tq41N2xw0wu+yJI
0bkUhOvKXAMtaeci0kH9sKTr6IrR75MT5HpVUC4BWsQrhUFcPZEG059EHZFCkQSNUz1AVrQ3KkmP
JLT+0D6skatCkzs7+VQfQxQ7/5DFYAR200XSXzIzE31PvbprocCpewoLgFfVfVd4MbX3TQTVTB6y
uP80usBbdwsGzbbw0yn0Twtt7VCEEjj+ddqjnJYQyK3lCGTr2IaqKeCM6Y7Kc3Zub3rnJXSNcPsH
3/ISOA3vLiotERJ+o1TcZqp0SZv0IQD2ecT7kIHeLHTgQr6JA92zU8fAzuZ8AMxbrMpOQx5xB+In
1W23H5qYjJsaROF11wAmLWErsfuoRiBCCa8PSwGJtTI4dLUUoCM1SV0eLmC/ExWqs0eoTQveVvGc
p3EXAYoDZvcUCE++GYrWJJKw1OzGsQqiTW1YqMMCLRzzxgLcPKRoS56y5M558ZiiMdOZa/oClVTh
L4y+19jmG4rQlCUbJnqRk3oKLN10PA1SthGhHQm5DjyT6EeQubzat1MWv9bGfFlXVj/WTHypqSBt
jjGB3y/QdmyqrJI7H5uHjyKRSNBf6XrVwzhzllGjt4ZJWohJrCJPIdMUOeeE38uhT0opE5frrIlR
X43i31Rdrdt07EHj1ba6BsOY+UVg52UqV2w28S2dWXSfQkAky8YA68F6wILJoYdb3oJRdJ/ENMzZ
Zk7T+jSPw3ivp1nVG21rUx2AGtdp7nFLD3xspzIcpn7bTRW5Hzo/2FDFxquuIt512Nn4KhQgLcd6
BnlNMRaVYViZ10GnerfaMOxzP8UmXPrUTPNGBMl4hn5wUQchlyqn8+LbYurqtoiT2YicBryChhSC
SH2YE1zcxgHkvl8rRPNU4L2nXQt+rZR4KZd8dZ08Y5fH5t8kXV82LfoLnEJ1h12n2eqUJoUeBHtq
mzr4AuTNbiHaobvRp3ybirS99VpfFoYn7Nkf+GPfQglWY3DbpmHVvoxLqMacROP4EvmVPOowqmxe
SdtmRQNw9FiJEBdd+0C4G2sKDLvRTYux5GiWoPnWsSj90lV18NwF0XIyYG5LIqbxEAEyfgL4HnaX
mmZFHrX+dJ1UVYS+FcXxsgjjb3F3GYbdwC+7tg3nr6PJvGbTJw2IUIDJY3IYyNCMxSzhiALXtI4A
C9OlDYqoRx3JE69pyXUv5vArY0x1edjjHPK2T1kG+xOfCsBfWBPMCXLgiQ7TUjEIOSV6ra4+cjGq
zwJTGys6EUX+F2y8i8yply1m76kuKZVovX0zkfDxohvYBqvpdN44T9wQYtuv2mQC2wMmz+2oK6ih
xopEJ1B38ko4iEpyWaOlOdlZi69dqGxTzIAZTd6Y3n5TyuFdwUuJOU0LoJhvBqyVycHImc3QmugI
kLqGZKqxsIRdZKPfYS801ZanTF3FDvNb7qEdUWVfTR7ZeBOH5tdfDXlSc9+/pMLYopujuex9b/LP
ekmDe7BrGYUqCD1cnqiF9bsFTdUR1W9YNnZirEUrR9F6QsXhjeeILYFX6OqixHPcJ2IjhYHDAIoU
LKIiZpy1cWe2tUlApfCuaDs0aXJzGWNNUbmpCdFTR0O1Pg+zHrqbcAyWucRUUXUoaTQZV1HIQNe9
23l+2A7xTaKjKsu7YGqi1x6yUW8ojJfZttqCMOusf92xMRlpgWnbxiLXK+OzLlJsuMSVDPxV1uca
au7YlYNxFe+uXFaFkV/MGgOYuO0N0KEot5B5U72VWkzNc1138ViXC14V0Chw40SDzI2dxkRta/Rq
w0Ez7fEf8zRbQzYM+ic+bGD+C7r7yg/BvewEhFJqKKWLPb+9bbXo8BxiD3Ip3ULJDA7AQOaOy//O
PZr6uI9zO7iSCmbJMwHLxO5/grWeuBAOqqcXaDQMKiuuYOa+UPfQC1x4ELyHa/pWx5Vvkx101Sve
tymYafOixcI8lg8ZgC4Pk23VLgm2CJRj9aQZAIXspNBQ2rPfUt/Fha5nPXW7FewWnha2vHZsv0aZ
HgwvSa+0G64ijctbc4TfheFcQPQS8eo+UkQ0ySaBULWJjr7WkxuhQ2oUehzMDvW0FSJrUY89NZYd
VEjXIcRcaN0FRcV0tEETlcW7RqXcOQEU1gBJbQpIqnS/xJt6sHHTb8QCxQ0FdjCM2WlF65dtKq9P
KrBgpqJC50E80XiTujWKd+D9+JPIdP/oQV2j8nCE+SyPNd6dDdQm/M0fOnRZUL8z2W3GZKasNBI6
FZuv4QTycU20e1fZH2lTm1sCdeweOHBzGv0qKrow0ddt4BzfiIhDrGUoiGDh9fcttUt6mNDCpXk0
CBfndli6YSeVDxWjzcQywJxjujex+lWH0hrzKk+wj+pSRau7mxtvsWgQvH6DDhQTYtUKQnYyiRUv
K57Zr95aWSfyoF6m4C7rmo6UyHocvkkfBHY+twajwbB6BtOIbAO2QTsh571mpDNvtWcviAs66nAo
1o7VW/i0TOVtuQ4yiHPCiQ5F5cfjuImdP++DeUxfetPHwVykcJaOBQDFhmBCTd185lni6zL0iVbP
kD5ANpFLAZVdAU3HZNAgBSF0RQC3zjUmb57HE/rwawvCzeZL1KWbtEv6o1fPI6TsmsBcAW0dzLZT
ETo9l9lAKCgpT7EdfAt4MKmtvTyCtm4/iX5qCw3A7OsKwQLWRkU/ac8fcZ2r2MKuam8dHnYJq2pG
Ny20Fd89iJcAHraiPnkow/MXDJcL+5S2XF66rihs9uhgkqOMU9J8RYmM3C4ycXs3LlF1DZlk/VbL
AHc+W1YLuVqlgYysa2Nz0fjLY2aJvl1kz3AJsLGBHU75iGqacpgVOkLvAsCHaUnbcTkEAC2acoE2
5vMSxfARkm6O90PctpAnSnI/VfW4VeHgPydyDnKaQofIZL9CoT+vLoflyJ3hqQybMtSzgamrHyCQ
p42h5lAnEuq0eVghB62rxeJ0aX+RRmAaLsSQunALhgg8qx/BWFjWJjIovR78Dk2uRAp5YVTPE5qC
wc3XkRb6VIeByUqf1CLdQgghHhabKqiO1YCrhBog/RJLBgMwRwN+M3mXjnfOYCbO0VO7Jk+6ikKO
0k0NK7Ght1BeAS65XTkQgHxNhEg2nYHArox83mzWyeJnagI5HWQjXJQmEj+WmQ2bsJptsSjiXlJU
C3NlFezqZT+Z7G4mUmkcjpAJA0EDFIiH43XUV+FVxvouhUyocjyXQUWvPI+FX13fdEfrifkWWr22
gAYsfIUrRg/gGVLqiobMrSzSJW5cqRfXznkvM1VtNIM9GvVXRv1VG4SObFWykCevYsKegVx1EcCA
kcNULnjw0lAoHnIOIcZ5hMLE36QLcRgKaAhXw1T5hG940LKHjli5FNg30dWhPy9ZJKfsct+SmyVa
AENH4Vids55HzxNUFnVudP8SzXx8lmocc2R0AHuEohJCqdpgyffypfYWv0ZvZb3CQ+dxLTXsPTNw
ly9Drb2DbPFSl7Lp0hul1XhUZILXQ6bdCbhAuvcqP3sCYtykWAZ18lWEa7SxsT/fGenCQzePKixa
ky2Xbs3nkM4MgHjSec72c8SGpFyph8aJN9TuBhKa/g5u2aaUALdKiaUeF1NE9AbtS3A1uJFBG7gE
z6xy9plWKsjFrH1YJ0m34Vlf/YCs2C9jEqvHDO3+Loir4OsIBfqzjx8huWdx4yD5f4bnJru2IPl3
wii8dZl+hUBZ3QrtuyrP1OgHeA/WW1p7HTqaIOY77AdywJgxR2WWQpyCnz4tUyg/twA7ysxiUJkQ
qbDmlgXjk5f18X3LopgXMVD9gxBDACoMSssuir45DfRfbjoBPEh+xQbVcVOCA4eL6RkT7cjFnYzn
MSY3qmUTqvycZRdtkpzgf4ZIwLqWT+AaQDiON4gsuHgElxBejbCMRt8qdvA14+16gJDbqceqsQv5
RoZ47PbtmHEVF1UsfeWVmSHxIlG8OqhZwGlBH9HSoEn8EsK7YEXbmPmuKWSXSN8etLNAMfMktGQb
x8OSfUmGQaGoTKLrbY86RphPSvR50CkgTyGpawhaYmisIEdGGw9VlYMXGi8NZOwxgRSUifG7P3ku
nUsQmhDqbWaxuI6BsWzqDmohUVcXETnW4AQapG7r1Z8+mShTGGGayCZSPo3ZUpm2BBGbYe6DZaix
7bltx1mP5YzMiSTY+CLS8/RVd6sJXI7fIhpXLGOMlixfBUNl2FewSbYU4RHuciVxUvu037HamnT6
rL16DUneVFmH/wctfJrYK0/NGJivWjdXfVJYn2ap2f4DPffRIALyDwZqCq8sSE7I9CB8+EjODT5m
jtYK+s1v4SL5i/UOk46AfpIRr6H2XDIz8MLnsQzTPJU9jEh5Dx5lLlQ02PSxfSe6/nxeH9lenBYC
5BLYVZE6A/IQXNHH02qIQypI3aRv3Sgu3ib+U/jBO9pjIXoj6LJ/ICo/cvKXI8LGjbtx8Q6D8r1E
BfyqyQBomCkffonv/OcRzU9VTUQGCWp+TlmsIYIzvvVg+WhakJU/H8VfgTG3PxnRnzEov+Yp/Bqv
8P9ymsOH/J4PaQ6wuGFV/ksL8Lc8h38HlP4S5fDzh/4Kc0AuAzJnQDNncYC5DMXxXwE2Kf2fNPFD
MDxpcpEXJdDi/G+eDUJrQPZBjpGkwUX/Ev4r0AG5n4gnjC4OI6gQ0YCQ/ybQ4eNiJuiAUGxSEsE2
QyhERr9JFwKTTMb36/EABAEqxW6oyU0kF3GGnSIrf7k1fy2iX7NzLu/rL2T7+7EgLfFxLxAeAwXD
x2VsEGkC4jcYDik26/NqXHBudUSfHO7AaZpWuvnz8S6/77fjwQME1x3enfDvDm/pIcRCZD6Ox4Fa
QCIHUzniadbgrGwcHWDuTaIN2uQAtpAmfPjzwT++s+83FkINZEBAVZBeLP8fL3by/NmOkLEeVqnU
G+850O4e/eHJBau9s9VKn6rQ/6dL/g+3mOBuQbmF6AfI67Fsfq0UalatXLKUHyQP7G3XM/WGAtms
6Hmlva19918fMAmwSHG4S+wFMkl+q9HthbsOQf7vmVeNVykCbhCBpCj6kcj7AjV68vLn2xr87b6m
yPBMMrTeEPnQMPutFro5QJpSdWGSRzt1uU6qObxZ18k3aODhBi0wzgToAYf4ItwK7iZDhqcBVpel
YEm3DheqKb1TLgw18FKiQZEJNp+A39pnF2b/sAqgxvx9EabIo0JOL5YgghbC32v3wOEtbrnSe5IC
vX7weEiqq7nufQjoxykroQgJliNYNtdfOBISPOAddHcemtM9JClJcmxmOE05kLjXGqRtkrPkElwB
fzsMqqBKz5AFcHaEbKWHClWa4MxDIJZATskalAicqlswCg0Yexeu2VYQG5zRwXpyo1N/vELkir0L
VGJvq4aCZl+lGcnXDNOEg99itWYDRWDYXsmI2NsEVSIpIQLr6L71jfe57RmFWu6CIhxk1cLTie7W
efWYh9DKBN+xSm1T50HTtPZaxdTEn+zgltPgsx6EAsGQY2gch/l7IZCO4z21Zra33oIkJ9pN4DVt
NYkX3YbiZZV+dEigYZ8Ka4x4yXhkbv15RowAnVaULwuAZtMGkryCsbJ3o+yDMOemEi8RU/bOm7zg
gSidlc3akFe47cPhMDhqXxI06rpI4gDqg7ki9k7HElcquhg+gX7GASFvqZ5CwHSy1NlCXnuN+5it
BvdNxsGDpnhoazbRpwUq8dfES+xdU890AxqQRFs3NiorqPWYyGc4E+5+rlXW1pEuWNQs+rrp7PzW
t6PX5DHBxYYOftzdvMA+j4kDXeGRplXDD1BGT1yhDaWZ3igoJT4z4J9PmUA9LRVMUHbDXYx1YoYk
fh3nTLywGmN+PXF6ok7SJ9ED8MzjocHKgKjVK2IQhlcSvT/8NmK0t1o7sZQmgewW6NYsXiySsXhR
j90KhTxSHuoclFwEcK8FqQ/9Ba51wTiVZ/Uo9+/3P7aKgPLKYoB+Kab5zGNzMSFL4fz+d4AKDAV3
fou6sbK9h2v9xFJlyqWmdAvCAQuYXV6PBDYmsQfxX1VXQAN8UZh5gQhqshm9i6CUk3B/o2fCVNtn
fntW4FUFyTMO28S9SAYfE2Q12spsgeC7vIo8/MDQN4F/WAKVGgubjDew4wx60ts5Hz7pckIYQHWH
mYX0OQOVI/KBwZJ8CqGXfoHjYHkzYBZNsbTz2twuzguXzzNuP9vNA2LZ5hBW7Xz1uzH3oN8CYQT1
MryjBPd5fhBRxeAacZhjBupg8u0L2NbtAUaWeAv0LzoTCKEKY5Z9RZ29UvVoHxK4fQomKoAEcJGd
Y3DZBdq+4Hn2w6kUMHzmytngxkuYulvYhEg2VRnyRcGcEGN9zQsylGhjrwykYfs4G2ueA6AcwcCM
6zmTun7DgBGcE0yyx6FhyVn4A60AEsfuFAwLxwO3HuCnFfTobhCreqMNRrMSZFndlFjc9BhX8MaW
AOKhlEOEXvUUDfBCloEXPyJZxSuQD/E6BGB+2x4Kw/0Er4bBX4yw6IC0Ykm5jsxvLMB/5KjL9g7b
HNZyWA2s2SdehV16lc3OzUq8kEDRJ+4YIOK0zjiBY8rYu9Wy6skCeT+LOBAvbr7MK/Bfv9oxq59a
kqBgjmH30AJp/txK2LEh5Sdw8fsYrhqIHw+ZoKB5KK0ASC/Z+JAAeVibdiihLI/rbRDxjBwJBgz6
eZ1F8IVLz1sPK/rv7BABEYiWIhCz3UaAErtjEkbR17U2JNkAgT/+mx2Xc8sOsCI9pIxN/zcMOQyw
6T0klF0KCm85kEh7poyAc36gyodwuLGgwPQWPgBEcHzkzGMXTmDy+pj8xZkPqRd/hbAAf19gx5KP
MEqG1VeaLY2E11BU43bNxqbPw7rTMaCzzjsh3U7j1vFK5Ct0kc8uzcZ9Ew/ZTcoiv2zxVu2gRpJd
4QBLvcDvi15EKJKdoqXxii4weKzwWcpN0wPu2ICZruVZZrM7uKjNzpAm0icJphEDdZ/Mb37fUuQn
wlmbd8mKRTNprJS59rMSgvzLUtL1gNg8NgZnRJeglk4JHCZ5S/F7DEjsXaIYPc0LHk3RIy8AaJxu
cU5pBi9aI5A3mLNuwBK0UU1PSS8grqzDDvUevOLeMYM6aEg9zzsIpbITNBYIw4G4sM9bbCa8wOcq
7C1wCbxLZJn6XeqwjyPDstlF1Rq/rq5FwX8vgSnTIHzg57gs/cXv2S0CywAGgoyIT4vW/g5uu9Xk
Unnz2xCBLc+DSGLnD9eJvCIJ0d7OmAOXkpOmlyX8qD0reyi00DEgkDLZ/TytAHlK/W5iLTqJyvOw
faWQpF1NvZR747S9VQa9Lwf4uQnWfnDHcAmTAcomx2N7DVNdGBW+pOPLEk6C3YTE4KwbLnCti1lx
yEE2Lr2LgTTP2C0SWNQ4LKP11AERyXwDC2ht4+SoO4hoClCC7r7yRvKSsACF1UmvPS1CWihJ/6NK
Il4RZoa6CAquHz3/KDTzfiBOgUKbslCb45zR5TReSp9Cu2BZZL3ETj5RFTwAHcT2VEs7dFsJGcCK
M2kudxRIFTR3xGFb1yIj2DAlStV9dXmibQsR16o5VlwP3cIZVlNMDSpcfWg9yCwuPGuGBM+nwHOA
2nCf0FreA3bx9L1JYG0SRbOwmmV3fQcfLLYqAZ0EwPB6cs3WdY1XB1AFoFuud8jmIRDrod3ofWQT
NFAndUXV86aEYQYEZgKNAlgv9CBpyPxjB/j4DBbFFPDNIh0LKrLSIori2LeruMbjn+7GDJWlM8x7
th5tjh7EABC0MWw9CPLY12ESQDuSetteLwTXMSXl4APs91MKYnSuCqisP9UZSnoka70N/DoAGBkA
EbZ2OoywpSJXpA/uBghHxxxtiMzBKjQwpaIjUQnvfsD+SbaZGas9XUcOpHwyoP1HpFuiKvwY5PTD
690NtfFywLpGYwDFww1Vwr8h3JnS+LxIZsf3VhNIpEHj3lsQTNsWm2jZTgxcK3wokF/F1zbUwyc8
bezLg+2P2Pn4LuadByIkUkXGk01N+2vdQQIS4Vbd+E7Uj8JL9Iscw+g8Gt6ORVT7aCDttOuRIlom
BjB3cIfODyg6gOEfJKnIMQK50TRA7WkL6nwA2F1le69dv5MpwQOJgY8hN41AHwd7ht/Di+U8IwoP
O/CcO20uFYT5qBDYr1ANFYJO9RR6B0hvJnE9dz0WKWeoNk0isSJXU+HZV7Zn863rEElXGLTd/zCK
X6akD6NxBiAihT8iDeFvhm/245y4QhxKseOJvSDvTb8BeJrLS+P753Htb9NPhsBIABUBwdgPYf9v
4yF0pUq3oxL7foDmINdpGjxMs/SAMULpfpVciPDjezn883H/NvrjuFAuEpgxgKViUvx4fRjJ+6gd
rdjbtk9elYesDz7b3m4X5N7JzcgHd5ckDLV4Mpcu989H/+ihwuyPfyhyH2EjSnASvwOXbm6BnkDO
skeQAgYQiLrCB2TYjVdtOqPaq1rgT19IjCWXzhsJRyju76fw/xG7//S9h7+iWd/zmYEL/PKw/gbY
/f2Tdv/+qV8ip4GhxMS/ZBFePp/zL8QOg/z/xP4FlYt/xlEDHPxfxA4J1AHcIJcMeCRpvqNb8H+8
J1AjtDXCL8SXqjL0rIDA/hvE7rdEuAtOlwR4a7GGIyRjh/EF0vvFoacQ5yEubc95WCLkMS7g1PIx
QnhC0aWL+ZR4xB1bZFR3G9/v1IsaY/OIKmjhBKXD9PmXu/cfML3f8ZjL2cSIGL2g4j6w+gtc+uvZ
xIMTHWXanMNpCM41EBaMDekIaZA1ClkGZon1S2qwb+aSZ6hvsEdi9SNqIY3Bw6XDG1XKv8HvYKDI
+z54hKUsC3YuIdV3hCMHdvvnMw5/q33vZ4ysHLyh8LT6Wfhb7YsbiJxgRVZnZJnUdZkgkeXRAMeL
tip1I0GooQ3askmhplnTBCSr6/xox8HoYTM0o3pjdp4D7MGClOhvR+gqOEPHmErSIeRgbNltp+kR
0ZVsLlGk6NPMpiukt6DRQEJtct1ItJG7P1/Vb4UWFwVWAts0oGSsDQQvfXwMKTAXCG/7+QxUkz6N
dYa6E3chloYY0OQtVtJ7UQX9858P+xt8jPkaFRt2SwqS5vLH5bR+WYuQzdWxmOvhPGSAVZFNoc+w
AiHto2JPfz7SbxX9/UjAzwDlgrKiQFQ/HkkM8DZPUOmeYfyIXxFOhK62UpkL806wjT8hNqGIfJeN
BST9C/+nRXNZFL9smBfLXeiHBKG6+J4mqsNvh4c1rgEBA+13ClwNIZeavHb4KGC/Q2DKvIGUYMyd
j0e/W/ppgay/G9Pv0CIh64a6+GQTqImKaGmhE27h1XmE/jSMSpY5912gWSiBjHMklEDML/f42MGq
f24HP7+H+Z9e078/KNggUTZg4EMoF7ikj7fPTzQZCKm860BX/LUBBQ9UzuvUEOeRQ47gcWFN9xUz
KVwb64QYAdCDTQFBQ/pDpes6Fo7VKcjc1nxvYD5/M0Sw9PjnRwx36e93GfldWESXLwIhdgkNysez
TGTW+EiSiK5bzBMVzUpF2bq7JCvRrTJaw/o++Z8Md0Qjn5elkMANwFuk2PWxQKZjP/E7gRxpm6f9
Un9eWj4eABioXJBJPEJxn5UVvPGFHtu2QUhaBPyxaufhvAhvhiQD7H1dBxSA6QrTXREaxvdQZvd3
YVvf1lDa27zX6XRW1fSgQu5FaBmR2B40LkRtiPW65v6Staeekeyl8qEDZUkWnFYQqbRYfAY+HIuu
OXgZoM58cdlaBgvxyrW138QMV4OGMR8aFK7SbTVP+oBc4vBhYkjc3lWpFzT5yjqM5IjSghhymLwv
msORIyDkPCB5QhyCifZvjREJ3vuId/eAdG2aG7DQR1lJXTjcB+gCQnoD5bHdgP2etkFgA7PpSRpA
+r8gdqgwIUNw/RwB6hT0hlWwnJQIUFB7bDXhUiA+BXOWSvtny312FUoq7gm0bTtNWy/cwl+1vmbJ
KDezb9t1a7qsRki99V8h0l1+wEwpSAHrIzC7oQ5NvbVoifFyLMvG1UZnWzlWl0k24nvg9vBBJbEc
caPhxcnbuW09KKwWsL0jsWseq74qIuUNHNKvblNfjMmfliiIy2aW8N21WElqG6mFzjsLPOkEDuCS
dq+X9+x76LovSfjsZy7+vHj2IkOiEqV8/Bb+FaKv1XumvuoU3ImQuU3rDkZMVcHR1qB3b8N+vPcx
dRxaF6Gj1HgGFaTdPsZTiCwz5DtVFfZD1XfLtEFyae0XsldBdcN+pvt3LsXs4GxP1SmZ378BsPz8
IoDGXrhN3j8UYPDq4KsBExgWLLiom/kWMCY+LQD6/vKdAQudc+FVNKBQFlRIg4BttQJYwSgyhLdL
n4IdmCt0BVsy1HwtshU4VjGEHfxBnF06cjO7egam4CFlYayb7IeHDxE0fumPoYKNL9PZmcBLUB2H
KFUpaYvBztPq9rOP6gbZe81SBGXMBhgxlfOAYbdPuNsDn+eiICGkREVqiet3EjFZXoHHGn72BMf4
DmFpx0v863s3gGk9oA9qGD4Dc6b8EEmq+k3HVHK3ahXBpgNRXnDFFjanYBtYyNSukkYM99iMo+P/
Ye9Mluy2sa77RPyDDcBmSvL22TdKSROGZClJsO+7p/8XVa4oK61Shr9xzWzLuryXBEDgnL3XRiNh
Zvuh5hvsqj6P151rzCvShpSa9nXh4sTbaUyVFo+nMZxpa8g8jCMrHkIHT3Xtqx979BKK+voduYpn
o8TuUakDDEyak6ErcaT5TwEWG2RjhapSUbgOUYa+ZmprD6LYlIrAAgOxImlKV+3C2U/sjTrCi+Qk
nlPvDDDI1SlRxhTvKNAmW7QFwlPDQwjF8Imxx8+Ux1Yf5bP2uUX5s8CuYR6ZN8YKPVn57ig062nJ
J3O4sWtvqcIShcy1HEpeSTEqCP6ChxzX2oN3M8pPaKopcjcgr+Z9N8lVXYw+7p8Ewoovco6ocLgG
gxfUDY7ZXWevFEiQOm5FEAu0ZoDIZKfAm33Kp4mdRRqn4yMCkOlr3SYWGuspjugTSQ6RpRvxOTKv
ANz96EahYrfE/Y/OltGjVaasAUMv6MGCzTtgSqk6tpgBMOU4qB9vf5RySr3ZBmeaNh1VsI6T8LwI
Gih6M7F3TKaSL1bh3jIuvMG8D8h0GN0Fq2QbuoY3V6e+8yLzLm3x5z2YbumJ0yxSmiz93G+bz2SZ
72RGj2ZXTQWXrqqVutBsFv2KxczZfvzWSJtYn/heSNQouZf8iqGBhUOBkEZI4GUjU6fO40zdl9Df
sF8M7Ar+1SQxzL5MbhtDLKimrDrRedxTOw/XBR2gzlf60GA40MHV75axoWDFv2OP4RexgCC33vbJ
fVnQIra8M8wF5foA1DLGBT6WL1OJmhhVdLo8WP2sdxfqn7ToqhoSwKPL24JGhG7cNF7cfILnazcb
pEuZZ8rg3nAB2Iz6bWmdhi4FqIdDbXJbNxPQ8keWZ/JuHjoEog289+xlsou4O2K8KF4BRG1riGoo
+nEOcK2dwtdKcQ4o9oumR8W+mIhIwXDDMre0U/Kg8E9fULenMpRma0KuyaXgdZSYFHUBg8e73CyZ
JqsWWd5JlITlfC9YkJezazCkdnjmGCOpRDawR7w97njJTM3FaAfTDiIv70fetNaos/Vu0s+thyFZ
W9imn1evb41vGGSXjlgIwxnx35l81FwYm61ygi9wqnksU6Ah/QLEOI799bw4yJLHrvFdpzuKAnnU
cZ02uzTOlm491HlWVdelPYsrrUf6u0uashgvMSTBJHBlVyRP7ESoUdMqxDPtqG70s6SbEJxOo9vw
FliaxzxuDPXRqChrjj62vmx5rntcWXwYVsJdAscxPmtRPX1NYhJgoLd1dnZS8Bnu506L1kNLc0zt
1DowSJXZp9bdnOWrvCnserP81KNuXwsjwctMAX0idgiHEuZ+l24f3gSHkpzbdfnOmK25Dccca9+B
tiWjPxNz7IRLhJw5iGoMNi+IMI2nNGkZa7zptr5hXHR3pVeSEzCYtQe/qkiwSs3DJwCFk2v4WTY6
z9TB6QxNUBIEps3cHR+aCLA6L3dG9K5WFk+Tg8MyXymrz6orp60T6w5/W26foIV6/K551uLrrNW2
6naHUYBeWTH013ke8f1biGD7LnGzJJxmXT8tjWDeLzYgBCDNiXP9Y1f6v0rKO5UUfGRU6/679Imd
6k9J9Fsd5V9/5991FJ2SCBLJH/FsBMZsZ6Z/R3fpRK2Ci0fUh47OJOjmP3UUgzqKibyJU54Bicfk
JPPvOgq5OOSpIFNyKKc6hu79kzrKD2T2X490yJDcLc+PqACScxAa/nzY0Iuk1iF6ahcEy03q7Snr
uMvwsUWQULbnVC8cPNYZ+p4kPTgdGRXyymIFhBhReEI6vS+rRdTxeZPOZ9Z1qXFGxoqHDD/WUwr+
eau6w5Cl/RwdMldJpa5kPI1Ixlf+azQc4clxrWccE2gGqKwPxTAnV8ZYIH7GG+w6mp+4GmvUaOMi
PEMw4eWQWVOuFlTR0ah/Mst2I9/bPXbGRzjelGJ3rogn595N5iHxbpXqdxPqf6rPhQvfI2CHgEYj
H1rA4T5VAxoOIBfYVf6v/vgvhd87swaO+Yap+u/TZs+sUf9JeN5mzZ9/589p4+oE3plUjakwim1q
/GfauA5ph6ZNiZOTPKCmTUv4Z/nRYtroBsHFFl8AxLFFAejPaUPNUpqc+yEGUfYybe8fCQbfHNGp
pTNZLGEwA/lHpurPsyZmyV3duhqOpjnEfZBnHocMVCjelRigVPoYS8urzAbvGnrJu32LN2UMNpDU
GF0WE0SEkvLsmzmLr28F0zL3h2kwRyxMdHkMZebhAgTn+JfH8ouSyS8v5W0STEeAhniLBmqtdDSM
QvYHYSA7yE0DZGmX1DtqQ034zy/FrfQsxJ489LddktVAhbMI0QO6mRXH1LUJEQ1m2KCc95Jc3rQm
ftxAtJ46vRgGBQT+nx8fNdkhyyU30FMRxdnFZO862K/zaIdxGaWBU1kAvSKWBcps1Tt9kTeV1z8v
jt50G8UcRHm//LVa2KPPiKy67xFJC9uH+JjsSsxo/4zGxVVIhSDsDOoCCou/0b+62LW6sYkGIBrC
hgpookPBJts44y6tC8o6v394byqvPy5HtV83YWgyTN4K/CQNJCsx+uEQLzYUlqz9DsjulZ5W4cOS
u9j40t4p5v39NkL3M3ltblFShv62eRclWTq5FliZVJcygMma87C8avf737U9jL+8Hn/8LpNKEMp9
nfeZtc2Pv5R2xRBBLWmy4WCpkVQLTbuCfX67GCboHh3Jze+v9qu7+NervRka9BjgthBNcHAxSKPY
wto00lOu0y29zfN6v82yr7+/5JsACvnjF7IJgJpPvZ8B+WYpW5LMdvFKQhVKbJrKlcg/xHBgTphr
XeSlcRYOzYMzLm7QkPH4ze5194zf+DjEbQUExRt3w2xOfjs59R/zbGmnxRaeb0Z987hhnTBTx4GR
Nes7C5Pxi+ePCcDRDVtuoLS3I87tYjQtGE8OyAZF5gttyhx/nuW4Aw60AUmB8NRwdUOLu7cz81l8
1vEE3mFdrG8c+kdBXMfeLSe4+J25IH/51ViftxmOsvxtGyL1SOahsNRTs02QbiUypNmBi9+1+x3Y
9O4ZXjK8ickGXVLla3kGmtZeUagas7CYe5RftNhpVuGmxjDlW1RNwqh0SbUy4+USD2Z7Y9qrdlqz
ieweHH0hrhtCB+DLfBgomXzoIRoEHtWXoBWasyeiQsEuat0dcuFzn7XE42j5EPSR9MhtICxGZM8c
XbqbTCyWv1grUhFrwHOo9beVR8ZmowhSXQS2rZm+/JWOD/hFaxvCR8tM23C0r9liPfRYcrAfxtmR
7Lz+lk8u978frX+fIFgE2Bgw63kH/03Zje1aDnLaHnqX3GjZkNBk0U+Gmp+GNap3wwCg6/9wRc7j
wA8kHsm3MYJeO48wCLL+0EYRTkyxy434D68UV61FdZFz88ffX+/vL1xXOqw27Ps3bffbvlwXeyPJ
YUN/SBeYGuaIRCTGUrpzzfa9gJa/D1NX0qs0dToNOtXF7c//srbFgxzTiVbewcMCdqm0xjhV0+C8
cwN/eRVEAGxTqLRxD3++ChxRrehhFx80/GNI6BxPO1Ldc+9+f9/eNoRZx/g1yCwQxdOP4+3383WQ
FK0GRUAK3GgqQqJk0709F3Q2O3InBCnFbCkY+OQn0wVwXyjEHCqRqfeWpa058/MLY7Oj4AfYkK0G
Z7efv0bTVACCRgdC3Zw7O1R9+Z5SaL8XU6/cwBKrOBklmJRWr77n1eQ8EPE5HWKpj9cErllnSu7v
Zgz98jvRnHNp33rsWd+8VmKhaXhOre6Am7M86a3cefpA2avsm5uoq9FeAzL6lFMLDIAYL7fDZo0j
jRC2qVtWVITz71C4x5vMncN1nT4PNDiCRvX140KCAUpGJY8SfPy5XOAd6f17m4u3adM/ni3bfQP+
Lbl7WI1/vqmQwbxicSduarI8xK1T74dJxM8Jq1hQN04aRhgigsKxe95YbXGmsvzFVc4TRgHvNNRR
FGBkH3cUIL37anWqJ1es31cZESXkJt6egt0STlmq8a7oczIb8D6/MzrfdE7/9gvejM6pB00QV0t3
WLQ0PuN7Kc+9RCmMCjfsVcsiP3BqTlP9ZFXLGHQ1BvjffwXrl6PAczc9EJjdvzFF3YW1hJZhtwFi
etAXCPi+sq26c0THWdjTv1X5OL8glUr+oHndD2McAJpLQsh0QAjibm/qXRW2NrVLiF1TgRxvqIOE
Cx5miRcd1ajxfSkNg6XSeXSsbCfJIgptzXtB0d0ejVHqV5o08uNaVV+cUX+0Fy4EzIgCMp0p+c49
//vWDaCATuYXOwQbcuubWy5xo8GwYEFo0vyljKBWpXmorUibq1Va7+wTf7FsoyCjgMK+ng9+G+PV
AYosWxadQx2Xrx6df97aY4q+65/6ubaRxJU23YYQNqauN5MZs/+A714yktr4CXBOjP1k3SobC6cJ
Ysuof+q25p4JansPgPuLt6+NlWzjUPNiYuP98zTsY9WA/dGp5zjLJ2QHd7PTbCk/r7nTf+XIa4e/
H7I/9p5vFlNbl9S6DCy7ULjfPEIgJt2sFEOWY3j5MFjse5bICpcyGQNCwL5Tbn9Ciz2H8VKzuREu
MsEubkOd3crvv8ovBxO1Ot4sVJhQYPz809XQjzIZmb8I4vtQrx3bF/RLSROoCDFP0tffX+4XL02b
hiGP2eDszSH/58vZQFNj6mA85KWdD3FtRMFKMMk7Z8Rf3l+DSgYjidsr3trI0s6IKwPpyoEzMsEp
4wzWpMQBbUeudppofQcx7Z2QmJ98N0VxgYvfyGmyapcVFMM78/Xvh3I0LZwKOZQjEpNv5+u0DHIF
Vc2XGWGVIrSgvt2ucPCWOIgLQEJ1V5QH/DEm6diD/s4ENn41g9kNcbPZt6N7ezPWerhepoVT5rAY
IvlaO60msf/H/S2WEIlMwa6gQUIl07ELLJumHtNoLkOKnHBgi8ZJsmAiluh6TCzkxmbfD0YACrb7
9vuR8YuviZ4S9j5Tn33OW1VlorlqkaXdHOw5aveDoB8kusbbsZdX79ySX1yKjopwPHQ/aPbe1n5U
anR1Q4Ps0K9R8Sqsxblfy6QAf2Xr/4eftTknKXVvJbW/rWr15qapXdEcpKnae2CY9r5anOhCsNKX
39/AXyxiXImyCFtEJEBvz43mGsVpNXAlZelxGPVl/VjE0Ih5u6FbmQvhC2yI7ywfv7yVnK/JoCSF
krL+z/M5jnWonolsDvQ2x6CQMzaLtDDDVodq8vvfhwGfD3uzarJX0qnpU9W3WLF+vpgLjWqIV4Mh
IkhN3tvLAsBWJWJayX+LyjwAE2OGNntyXFfWOGl7To7DvFvpehf3mHuYXMqixniKuiX/YNYjvU68
Oy542Ry8Gq6qJvlCmrx2nZEY0e3jJMdE1xGOBT6Kn2QFjl2h+PBGORn7CdHccpFa4h0U/dZ1h7wL
UFicJcaTPZgoH3IxS3NPZtls7yyYVuZHDz5c8d2GEY6wqOYEk1zmBM7qBiFpk+cur4zllAMOgq+q
jIL0Db02zsVKy+zQDdnY3ciiHNxrAYYqurc7Gv97/l2b6M4CSp39QXgZ2Rp0r+Nr1ymlEw5w7Mjs
kU3+OMKHjM5tqVVHHExIOZe4NSG7JeoDBmYLSNOABuxE5EhcB+5A9M9maVjiXQFouL1KR46T+Dq9
esoPXTd5WUgXdZnh2aBJuRQazTzqDkVthnUht82VIiP0i0Prk24EBrJgdcn3eawlMoAD3eN0uZsi
Z3wEB9n2O1x3nvNAmKILjnAZ4+HEJnbeN+7sqb0AwAJhuI7XNcAv6B3KllfULo+28h+ocI8Y6k66
zyBF8mDOi8oCKpeMBrkFtTwW7nBPnXc/IGx7Ad6Xf8w1V3/oScbyoyKdsSim+c5qvNshX/Zl0+3n
xCkfQCf7o0iQcaDLOJgim0g5yIp9PIxna1ymwKy7L2lGEo8czCgc0tnaI8v4Jixt2o20p/kOrXOw
u0nfeULZB4FtwmfHvEKa9eJLJ+r5q9PTT0XYlGI+GL+sjS2Po4X2aZwXIsnzD8iVdxhOmzvpFe0O
lK26o0u0BoOujItb5Mk14io8QA6atw4X67xa8iA1414p9KFoIaJT5IksmNNsYFPROUHOWyLsOme9
h2xyanrR+2qFIKPW7BbCHOoU0Z6zeYbkrmegcXuyolIAgSiQM8j4VoItTbl3kSseEDzMO2Nyk/26
tmuwaP0QRibGlpWt6wNo0vpz6Xb6VZk4WMexb4az3revttaUWCiQRroUrA9OVclTm9MbdoirOhG8
Zp4I53J3FCnOJhphnFDGPpPLxwJpxUe8ukdHikc1LB+Rt5S7SQet1A7RxwKsYcsMLNzTODjlftTg
eqOyeqLRF527yAJiH1fuTk+FxnNoUJilHlApzg0PhL2Nd03cug8g8XgvWt0VKELHz2cUOYsGjbvB
q+pavToSCoR6rXDHV9FBXFrUBAExzEbVrwvqw4aEco7mpt6im6mUB+u3InzNNxk8L9i3rTl0Gs4R
vExZJNJ4mD7V3Psb8kYV5ZGo9N3MOOkDYbFa1VdwvFb3wj9Uu5kJsYukKZfuCktbPHWfAB46HRhC
MyJIKVyRS37SDGuvpxh9fA3tR31wNLP6Y3bWrD5aWW4OYeFuQL+lQvF+pWl2n/qZ42KlzZdRamfK
s3pHkbZButNyp/w+K/NwdYvxKaGqf2fmqfkUFWWmTlNqtzuJZu7GmEx3X2FXhBHUUIxLVKd/tfWI
/ST13XrnrHp+qXnJ/tET2mzv8gWKWjpJZV3NpG8/ijGLXj2K+0PALgAdQE0HNFwXd36mz1S8tnVr
E6tbdMZnRExtyBFN3nqlWW94KZyqpCQeenYsT+4i0k9jx+csWo4CqDeb87rFIqsZaAAK4O6FKhxt
kLRL1k12ykhILK/5SP5l8weM62yfzVrz0WkgoUGq7gnbRla0VygnXuiloux0qmkK8Q4VfTisHZMj
NzWJjERkYWzbMkjZcJ0QE2VwlGcTJ1fvtfuMc1NxhK3J/9/D0vvQRNMmX5PKILM1niKFlVg0XlDQ
GjzVoPy3MahN55g010fa2blfOUhj9oTW1NoHRE/8RGdT519ic+Wr2tn4YcQOOl0TZRnfKhd/daXX
63XVg3IWCUwMRDHqIHRlP469KVefnUhztuskuUVLUn+mdGfuKJzJ2xirkk2OQbHu12HO9oTFQonC
JRDf5nk9ksAoE3nLJGqYVDxdivDNOaNxjjE0qb+2Y9zCDmyNp05xv1WaLQAOy+Xgkkl41FqxwB8z
m/tatvVX3M5lC5F0rUeM3ykeTnZ8RzkXfKyGuN1oRXOuDZyh69jVX/ulbj+OCfd1dZzmj8qIAX6u
RM8jjwHGe4YCuyBV7btv3tTJW7E2GhSCyotvZ5r0+Nltcty+of8TLsg6E/ActvgJsviVwWu5DuEk
x4FGjgMh22WCOdgdhqjzyYo1nmpjkbekvkTPtZ3EeECH6rMd21nYw9uDtIuu2PBHl02kHCxzF5Na
eV7gtocxYstLW/DjwQDNzy55HhDIInW0av52rWvx7eA19ooigFBTv8RtdSusJj8RQo8+p/co4oQq
m6JzUvT8D+RAuj5RDHkfYg6sBn9lnlPGKruXZaFoDa6p++bEQgZRtOQno+23UT4k4CFrRIGPQP/H
D6LqB+IWKr5kLvXswe3b+ouVJvaj5q0NoRbllNySoVcafodm4mPerPOda3fDB72eswe1PW6zjdwr
mRpQIsTIhTIN07vjbEpBrUpuBZzuJ0yLy52O6/5VXyt10GbUdj5F++gBeaA4NXpSXtnWxCdWa/bA
ln1+9nQ6MuuEDPKMK7xLdhopBa9OTZkviIYEdyL1lo5gBlubysDWKrSiIl0LfOiaHT2IhCOXXw9d
s5yKcQS2nQyMpFVrWpZeWzDSWLOS2zxLK4Ooj7W600DxAjddcp61Tggw/HqrcsvA6/rXytU4M2Fe
hEtYTHgcq9T4IOINojB1xnd7TNGuM/Wae1aL9bUy05pEWLNcsqBN5fAd+dQqeWYOY7+uuS02b/Lu
oE+Z0fo2W96n1cy1B6/XWc0ce/w+125zTxIwhf/GrG/6cQHSkEbNvdG78S1JTeSoexvnYmOHsI5t
8it3Y95ocf/SKFXq963mdqzxVVbIU4XC9JUdtXPNmTja1ziTWcTgFlE37S2ClCPL/bx2bn8TFXV8
GMmZOQq74NHw2ryyWpENvnRidWeLrt7j1eie4d2iiFyTVwAG/KeuruswGmvrq/Ri+Gk1+s5aoFs1
LaDjcrTsg8H98uloijDrW+YhAvDlgYDdjWPDqQHqIwCOPBZBrlWPaFquR3gY9CJ1xVkGmPWE/Jww
NvcM/Y144KJuuWxm3+oT+k20yawb1kp7XVfa9WyDIi4XGT3acFRO3qwGfHmqWH2jpNnYAL05SdWf
x2WBHc3cvNbjqb0qY6c8x0lJZotpsQWEBQH+Iv7iSaTB5GPPD1k1Wt/ggJ4bpRssaTiZVqtrdqVt
1MHciwsoDfHCfhsiIJmhXwnjpc9U9aSBaOapiSqHblnChnRMq+XFnaf4QS+TaU8C6tGu8ib0Jg0l
n2qqI3jNL9T/ik9wx4GoOhU3yQRTwELPCSdwlkUkG1e4O2WaDqk90rBZFaLed+hUL4kxwIxcpulO
uBlM1jTtHodGs1nqvPhhILQK6Gvk3A3IGX0K0wso00h8QaJsf0Cknh+Vcj7MqKQOlEsT9oFs5QAZ
LoQc4H++Vi6Fm8owT5G1Gl+xv0572DH6gchtosLVYIXTyGTs6qQHuEupMF4W+8LmQrykQgJDnKs9
04kFuIKy4cc2jm+PXOTXMRvMlxnAw41XeCuqhUI8wQJOwcR4Yi9Zuy5F1OUfDOk498vIU5LwZEhx
Zl/oE1eDQ4u4ru8rrSYzqONe3TQpw0CVpL9CSCzJE6lr6ByigNk/19AtaSD43grIcXBsNvQiJohj
mbNzPJXHPiOZyJdCu6qWdL5fdfMFjkixZyoC6FtTNmoS21fkDDeFkNEzElK2GWLcA0XRU792e/Xg
6u0aQvR2L92iNqpssktknvlg6+VtUUvi95LJM2ha5OtpWarx2pYar50CYhcTzi7PdTxD5E+tBE82
1lPmXVtyLCUUimlED228hhaZfixAkR2kQQGe0hpQhGatKWkMSoO0A6n6aqGYzanOGaGID22anb1J
6Q/SEec2deZjNPbBSMjqNfqz6tKVeDA6UWFrpsFDCk/XI11LSVLv0iOh3N5Hj54p55wvbVVuFgO5
Bk0NDh7/U+L6CG6Nj4i621NlOl+N1f4etVXzmR1r/jmH2Mmi1WnPEBC0vTUO8a53huJ+sdmx5JA9
aXp7/Wbnx5DCdmg+oiMfsbtb1STC0dE75+hkYJlYNOzqViOXIfbLxaluKd9U5O26KYSigZjWlTEq
089FkZb3ZuMW97aijuwrANwHkrT7b3ln6l9LeB3f4JDC3DY1PrBBBXCWbVo9LsJ0p48tOx6eGxnX
ewSxUNJHzbZOeQ0KYvXIcOVtSe1sBUY0UPTnj6pIwVwoM06mWZGIc7yxf4oMb2E3dBQRumUoXjMI
PaRqrn30We9S4ytha7zpK4F2vWvm6LOZQUkPRKQ0ogHWqPumyVorwEMQeL9bM1k+5s3MwtAl81Tt
nbgfq73wJioayAwZHgl5s7NflbhXEnvAv+CBx/8sDcnf8eoZpoSTekCTRakzjEoL9Hk4dnxLFNnI
pcISlZbDIWbmoqkSZXdRq+w5N+rlaCTBVE8q3rN55ZNXQOTVSUyUH8NEkDp6AHrJFqCnQ4pddIZM
lCa6wIHfFmxa88jmKWkkqtpEgA3R57EdgWLGA5xUHxtF8WoOYMX9obHwZE7C8j7/62bKUYvh8tKe
VMHa6SjTHGhrFfAFuzpYxKYHJJp1WUAtiFuPS6h8lOjHykOuUso9KAsUB0wifY61QRXo1mzkbOxJ
W5KXBYTso5xQVPAI6bcGU9Tw+zJHUg9paz1LLx0qhvFQLAg/rr2xH19Hm9qoP5h45a5tzQBgu4zm
oRzwthR4HO8zx2vIo4FR94RMu1uOM2X46FYM/OijOep8R3blfGtVRjw8e5lLjf4foaMBz4S5S+0/
AdMFZxXMA0jOnkXC7L4pTi8Epk7siJdu7L4rbFP5wRta7BSDV6gUk4MiGiGH/cB+l8e5Hkvqf+cJ
fypxqlXPjk4mok5Put1SRCHdBTKV3yj4wcwpDty8hHl/BQAPgHOXoM9xy604aW+TEWR8s20hc6c0
IS6jDXw2UjLvm7zSz/Sk2+NUDNZ9EbvzFVom9YFQjOl5MsX4r7L6/5Tb72lQhWNQGf3vGtTTty9J
9VfOJaXu7W/8W7htICZF44nKE08xqNP/KFDxSvw/0DiGRBhGIZ5i77/t7wi6dQB3uEl4oyF6oEP2
p/5UGMi2KfyyJZIg1fC0/BPZNrb5n4u8iFFQuPK1aOkjf8Pb83ORNzOiZpBOZN8wQjVSucu5uYDr
XjhHY2JiG7oZeTILbRFU2fxxVbX0vqIX/J7Q/XwUTmbJgJTFJ3y+80vmaOpCX2RmpJowlDnT2G7B
+77zqlCz1qV/YKOAqyWJp6l51ssm0nx8YrlVXDJPdYdxzNP0Bj4LCHaAP+6ew0h5KqKFUnA6NEDO
jDgsi1zgoHQJfVMI6HapN9zDhdnwKfoUXeVWXV91Aza7xR6bM0F80zccW59F0bvfhNfp2K4q56DX
qv7cFpkeCFnYHD+6Lxbken4vqwAkLLNNLuuSzEed1K89D0q7KVMt4kADmzchabeNgtYz4xFidz0Y
xbiXHWkFvqmm9FZLEvMF6/sm461DdEV10JE3+LAgInnoh6aEiay/5FJ5zzMxh7dzOW/OIe9lnonB
GXVCLq2xuBep1hzB0Zo3bVG0pwGqc0AAl7oqRnjupBqpa7ICv3h9g4WX3sdOcr69NMBzD/B9xq9d
5kSnhTSQfVYaOW4g1e7W1IUkiPoScHfXVkfPVN+HwWx37E/mj9JwiQqIFeSmBm8kB7Dc/WyaA014
J93g1tVLoYoXQmrVdUmCDtlj00gPl+QP4irg92cK53XtFJgJiRODYF6M0vAt5RWPzgq6yGdHVp+2
EfncjJ29Z2fLexmqPXGo5tAoP3EcpLsVUXGlNo6ElHGaWWgYzNMAnNyIH0RmZHdwqtfbaEr0IFnR
vCaWic9R6bPkKla140wsDiLNKYTjK1aPk93lV5Ky+hV0N+saeRaqniSa7qaWALuy6whCcUVe+ujB
+2DItPrVo+w9+PEkjEPhpNNVu1I/mGVJmTJyKSvP9hR/I1ELrctW8ka0SiLJQk/9YtQee0dyJXQ8
b4vu2623wtIqAUkGjT16fuxyqLfmBe0M71yTWlXWLJy9HMj6xJKST2RS39IKLfUrQDkXMFlz6ve1
4Dg+NlW79ybsPg1fymns+gycv3uOW5zw8NnM5LUa1mpH7qh3dFRmX7VS+2avxAdbSZJixo5ijiWt
hq+eRBcYW1Sp9k6qey8oUzN/bJ1LHVH0xmqb7HMERV9H28j3RAbafxBNtJ7XuRiTwB4T+zC1HNRb
o58+4rW37rQscuiZu9EeursXB2U2LZdq0gQEITeqzi523TrE/pbsFho2dxSVq926hT/YNhoWjOnU
odmIAXAifMLNp+EDda+KynpJJy2NNhyRF6uLVnOAkrBAC5gX/CTs9YgaTQABaHcmylPtuMDfGlOE
k9GyU5O7PpOjMoPPaIx9IuGbJR4B9pRpouuE+LE7225CI3LbJ4WP8YGsyGNbWuvtNOiEBM0Ehg1M
axJ9zPmkomLitGhXdzTeSIOcjI60g9pdHskUqq+LbjSfTBMHHUfWJtTg6fvD1E4nd1FJdCqJy3ic
08YMvIoUs7nWrwtH2+llNd3HommvlrROAxZP/YaDZRlUsiTYolAWi0LjhbE16ae1MQh3lGAFRVOe
aASaJ8JnbF+RTBlw5jKz7SEfWhSjYaTqJ82pAdEvptU/rl6yfC/0ug5WzVmOS1qIe2dpCnxgBmlP
CDwTYglkdqCSWocqYiHXzbW/qGSYn8tcF/umLuPAdkf7Wmf/5FcVC5GHZiuMKF58sio9OWINzgMN
A/auFf2iwa2T9idegivVOE/7bqSN5s9TYgUofIfXFIAZhlBVPXSNbVDGKPyelOwv8VpAfDfyHODV
OKJk7rQ2IE4w+WSucX/VFvlDV1XDOfHsMrDatr5Qzujv1lJW+2l21zvdUN5tR9BK4/dDtO4EGRWH
QlSAGMAUh+ALxnCA9v0dFMG4m5z5D3LUaLqwZuZ+lE1J0HI0vEo00fhVLaeXmsZYAAtxfUDp7IW9
VdmfEFMwNyy7pu3hUpCDO3oN31JjwYqpZkglPmf5yMHVadSNEZXlgWxF4wsMSBHO/fockTMUmMBk
j3K064LWWkS5UBkzVcrVPRFK+ACA/bS18THSA6LbZfrCAy5B+oaOGu8n6Ecv2izRVAwFhCy7TO7S
vFtKX2vi6YPOWf/sWY1zjsEi/Yh38I6smxQLev2qw2f/sK7DHdxJ6jQ5PQMqu2QlMfae0sUstuaE
z5QAU+kZlA3XODlBH33IFo+hNhFX61tWFAe0C92jmu1hH7v4y2kHwJF3oys2+NmBnJsBLGTq+uVK
eWmqKXUxoZL9UFCfjGFa+eac0/hyo+Iqli3L9xRNXxKl1wcNB+aFQrTzh+Hk+dcWZNyN7Np7EoDk
I+3NZ30RyI29qPn/7J3ZUuRWuoVf5TzAUYeGrelWUs6QJAkFFDcKijKapa15ePrzqezutjm2K/q+
O6LtChuckClt/cNa37oZR8M+wPdbdg6ZaJvatIcv2Ej7I1OdN2I1u0OcogWps2TVm8/Zvl9y1iWY
I9sjeTQEQySRgH5YVpdlXSawgDEHpHT3jNL0rww+xxsa+yGm0wmHZyC8yj5fBvOmkEl6JJ5mCzao
9pH83LGhfJqUUXgq+8JNUhohYM0hfwReLHc9U+o7RhWaP7WSxVEd/uJkEUdgFMc7p3VpIeI237cI
um9iIcaTBITzMrgtzVQL/k0uzK3wAi4frJgf46IkZTBL7Ycs5EfotKzz+fkYHKTG7cCpupGx9hq2
zKOLSrB4kNVNjr6Emd10M4ea+JLXWXmsmc9vhNIMOxTm7jaZsvC1IaIB9WnSvE5KaXmYnd1NNejD
geizfgs/8nXUOFfIkNS2OPEQmkfFJu/jN6UnA6uZEc/bTrocXZdtdBblRKecQBmBJwZqSK5njuIJ
1R/zGNXOv6Rg4h4oqrJTWTs86k2NXWAyZk56V1WdtkMOLs/MK7eFZcidM6nNLbsEVu+TqeyI/yq2
aqxHNzaL3k2jp/0+CtOEKTIrs0ttyukADFPbEs6BuTUlp3sU42urcday5THlbiTw5E6OdupnZqMd
K/I5tqYzTm+9Ezq5B5qBIiVrLROyYkTUjIVPNjCrZXovYUm+WmgtVcrctyJyw4Af5KPoi3qbEq8J
7IWYd8ApqkOGYqbso4UIDB/yTZF6msjKW0kGtG9kwmIZVNQxWTLRd2awOrOCZeSRBsjOM12VcWiW
3lH3+l2i5tuRBnurhpInKNGXx4VzgDw7qs3YcdQ9aF6VtYRjet2cDxAgUPjjbIw26CEaj9IDnkie
3ZtsKQ2vJefoFIYtrWap06XyUb+iQYz2+hSGG7vsMdlHAGCPDQMVP4qVNqhHcvkQYYf2Sx1DtNxq
vb1utNV7W/JA8sY5SllSdtr7RIr5HYIKDoRBz30jzPRtWALH1B6cKexTLAkDGcfvSV8MbPaLMneL
R3si3YzcP9NZ8zyhE1eP4zzwrjHUmRTMlm5JpeylDbtag0WqRrBkSesdsBwF4wpepwxABqYdgtN5
+gWCS/x9dPkJqRHMF76negXxFG5nfZCHcA6nxoMmPwWsIpJjj7/8tpZ8ddVaRBJy5xnZ3Gx5RZQq
rlsHrIp1QK2mrLxITuX3JlS12yqZnAM8qYU7mGbubPfW48J6zqsb0/ouyAcMIQQs8oRbYtyYi9tc
m6I2vNQqmqNSyOJeHeOY+UM1R14Vj/1e5J2zngZzQNWnB5WghNHHtmAVlWR7glHJHSNM/qSWLVNF
taEEYLa8cfJ4CkxrLgjHUXg9NZMVVpFBPLeMjyZUC5J8VyC8kJVUwkwJ3UuvIwocwha7+SuYvbso
xc7iqbk7PUxMsIMBUnHod/1CniyZe37atWTqEH8IBo2I1p45knTuHJ7CKUIKUDtIAqmRW8Cmx6lI
08fIyYGnUXrSM7XDeS6X6KEwlxa6JW826V3pToEyGnmmXuDICAeCfKoSXrrVS0zpaVs/hGGhdhBC
+NJ+cU3ygJry2kWEska1Vj81caO9aGxyXsoqegoLW70ROlMzhjiqsjd0yTIOYjaC5UE92W4hH9hq
toTTk/lu3zLEE/dlXL/ZS8O0WC5ThCgzVkG7oHZI/GSJAIeqzNLusnzOn1NVpl9IlQp3ju6C+pl7
Td/RCnVfsqYHaY0mANi3QHNSRDLgJyq3aZNyE04NsT6N1ZmzR+tBrVMjhg3w9ozfCCxmil0pZus1
1TRfant15ZdunlybiD2KWi/sXtl+6ZvWUbSNbiOtGjORHOJlSW/QlSaHwnDtM3NeGtjJ4mJSlW+5
Uy1f4kisaTuaxS9nzBwaqpnNzxlHhc6VP6r+ktrLnTJXS5AjdGezQHwShCYnMBauq2ZBtKLVKpLz
HxhzKl8/SdxqX6ahxloE/Sf951rIamZzYxoU12zF1mnnEm1cglnhMLUo1eqXqhud4k7L0tZAlGDR
jNUaTwFWxkAI/D62WnVkBWAt35W5VMeL5irp3orx/yXloMzPXTnJ6XEZlZTnq9LR8HZsVVrD1nHt
2LpNsqnRTOOJt4Qk6W0V1bHlG61W9Zn3v4UA3yrItzsDkdqFil0/5uSWP/1u/PMnXldt1S//Tjin
OivUENShTVXGdOez6lbW05jmhjae8fiZgeLqsaeRM2xPBawqoFnRq14YuyHVj0ZmbhXRbM1Y2zg2
+bL9siHmasOvunOXlAV9svv7H+6TgvDXn83C0onoG7/OZ09ZoQ01kFp9PEvZnG1JrRjuk+H8n78I
gvmV0SgQYX5+A0xc+jS9w3hOdBx0/N9S8m1pV9sfL/PfkeRPRpJgCVeT1V+PJK9x9f2X/zm0+VuJ
LPh3YTq/fuNvk0nCdDRdXQGHlmshEVdRk/6GlFhzdvAFqK72z5Sdf04moVDo2JFQ8WrYSH8PlGAy
iSRVRSvJ9Og/csUzgPzjHfSD+Yor0+Bn4Ofi5v3jVLJuor4pXM4XxcZUks5x9eBmAMc3MPUKSDnm
y4jQ4DZXZELYhXxhTqEc1NE+6xWTJL8A7BbIVhT3LpHal7xXn4BMs5KUBDhuK0EYz9KDGGtoKnwx
Y21kBznCcrHPMid4W5+0S0p78+Yaxa015rcIg+AjYp/sGtP1+7GgkgCuxrQk+ejVPjkXawRybUuI
4yXxwKriIMwyWWgn6nIiBfRiaa1BBze+sViePDNDQiAYt8Ay/2jzFL+mgfzMrpyzbUy7MbFJTVwd
IJSHozZcQ5LsPCIGt0LPbvt5uYh0PqkRXwX5h5S45G2WpJxW9fJudsDxB+29si1y+9ptlYe53xSx
8RzWYp80juWNKlEaAM0WVCPOWeuMl2zI32x10bYs5q9qk92u70BXoHkQWf6RypJ+MerSrZEjMjAK
Au/7iCN9GAdC78erU06Wjyg+WlWF7yOjAFzAkL1wmbJgrg5LDq5MGdHNMfZm3poc9ZiQ8CkjjAEn
1ijFS2ywA57yN9hDb0yWzxDvee6ggNgIfiEiET+qbr6InM9qNrpt7Upyh0V2XLBWe/hji9XUSiNZ
8UbpcQPzed2uuIS+bJLMZaanDNWpw5C2iZT1vYyLt16DUq/O0EGojjGq8VqS6EUijJfL2KqXTh93
CI1OmsOYjEb0JO1K8Ycs/jBY2m7Ydd1m2XTS+XD2TkUUfJrwG7JSfFrCLvTyzkLt4BpKkLW8EBLO
lLGTWBjIpcdqXp4QWoG/MqdHIo2DaS5hAcbE1NFyv5UDBHmmTe88u09AERMfclByzmr7JZnUb05t
3DGu1XwLXfSsd/vF7Jt9PQ2PdK5oCSQx1Y2xj8ho9hTVyf2sI5i175eTVc3xZhz5PGFfGISgcCVM
S0fzzyPJk636VEbau2uwhC4oVaAr50eK68e66R9xIn4Uajr7qoV3pS+mRyPEG5Rh4NvmeuVuFuB6
vkZn7P9437XSOruueEGgybRVmGeJP3bbrd/H7+nFE933aFgvid3Me2wIC3nY01nqinxlKOQy8Wcd
11AL3jMBroJ8ikKftsv0Z7cb9rU9D8e6ModDW1jOATOJcpeR+7NZF/F3pSJnOsJ8OMKZa1k058Z7
p7Wv89BYN5qTkQXoTVVCE9fQv6WBSyUe2NkyvoV21SiU9XoO9J8B2xPC7adiAnUeLKJ1V3Q5Opk4
PIsye20MGj+CMTZTbM3+gt5VdnOzqQXBjVjcLCsFv9RER8w+jClhXeZKfCkrxp5MRZ8IXI8IhDbN
zQDrbCrn5r0sSVIqlTQmf3xFZ7GJkAtQLYbuAH0JOL5ondkhlePyX1IdPV5FBk5doDweVN+adG1r
2BWf28wt0LPtRm2kqcEECeROqHa/m3QuujmzX2zFOvfoVQ/h0HwoY3MSVvYTBOnqRvhdHcQpDkEX
wNBKMgaQ/tljkqTM99Ixq/ZiUCg7+7rzQ2c6J2Z9i3LP+olh4VNl8+PVXB5oq/tDQP74tMlyxdiX
1myX+4hbPQCrddRzAi4tAil/8kqf6rv1lXAgOzYvpuou0OE/Pp1G256MlM57r3fZmxtyGq7HcaqN
M5Wm11YH/qT+Wuv8JXP2k6vp19d0ePJDRHHXv//xNSOjdGOnDcv93JnxxmyHx2rixlYMsR+VdYXN
74sC49S0nG6/qx3+pJ797Pj89bXJjFydQibZW5/8ekwWRpJynXLfFo0RpDgGLjMMzvW4OBHWne2B
c76P7YQQZxwQiw10rI1bkkobz++xFXK5Lqc+gl+DVn7vukiVUgYQiD1Oo8Xx7Vi69DPBtVqlIOGa
bWEOVzzXT6oZQ7KcxLl32LNMVeXuTLOSXyNqbh/O+8+c7H9yCbGmxX+Ju0Y19c/uPD1nTVXpotzH
ersVlXphpnMp1q7r79/Rz9aaH+8o29Z16YtQEL/5Hz9NbCnOxL/kWnVzcWin6TJridgAXiRPCdde
0DrZbRdpxX0+zBe7U4v7OOIZKpboox44l9dSBZlvRmMxnWgzmMON/SN+k7PBEC92OO5JRydlKmJN
U0/69BIBDd0R8ynXvKTk1KtNe0Wc8TQ1PPZZb4gjxnLYdlZXndDKfDBOtLwyQ3bUsPXbTUr6EVbL
k0OSxdIRowqIch/PLL7iMsFXt+BUldOJDXDu6z27nZnRhq7z32Ze/AoBdkY9Qo3192/kn5wwq8nP
XY1lePU/b68XW6lqoRglaEHmqZQTEyebKXULfKix//vX+uSl/PGZIcURfFq2TZjZ+u9/hzlo9Dmx
czGXeyLNr6JNjkX1swPzx5306cRcwdJ0TvzV/X95fKRAYaZS1XJfuQPSwmTSkSQt7+tJnywGkvsm
PGa62LuKfiZ8PGY4R5T5FD63afrNsVg0IN1qoKWlcERTHuIxUmZPzsWtpkUfiwUAAplnts+hYnup
aYxery7tTZ6wdHbkF6fjH1sYBg5ixrpPqMvo4abv/Nqt5RboJMNvt9Z3LIfWxVDyYSK6RciS3Q5I
+DIzmn3HSilQwTtNJhrNkrgpf1C7a1Xq8UYYy+knn8mf3LF8FuDm2Jup4v+5LTEkdFM1F+Vey2kU
IEwzqgHKhHQz43dGc+YllFvI3JxzYWI1DVs88mSwEIbMtRxm5Ya5c78dw2X0OgvgQx+rLyNZyIGz
mn+zwTqHKBX9PjTPMVvjgPwfHKQVkxw7nZ9UfXxHGgXmNnmYDKpDt+YXbpRpl8Xq00whhrEiljsj
H3fYuK6Ryawsbbg+BbJgr7WG0XMVkbIUzd0dHoEnVzbDr8zFv3x0/MlNwjNj/Z+GJVLX9D9euGNU
k280DuUebmVAiQPPe+THESCjQxn95BPRPgM01vvE4SnMsYYmEJbGp6djjcETc25f7hsdarBmYfYn
OvoY8qRyNT6fpeKSRMuL5UrnmEpTKsAov2VRunh9FVrM/Vxif4qh3rjWwtyHxED0hg5qBu1GGZw7
BsQtJGaq/amsjMCQ7Tv51Ncpn0+sf3kYc5lFRvYWjmuVOjKtZGxZ90ASpgqsORC/oUudLU7X84/2
chET5GGTL3QbcsaUNWVcjsNWhj06loUE7Ant4Y8mCHlMFYxwNo9lPz4mzLIClje9v9S0euYyPjZd
hBYZcJFrDI96pl3IBSfzhmpNs/sgKbM5WP/AuLdGob5ekLIftppo2s16G7WTea7s8dGK1gZiBWk4
FpGCeU21pIbpLSGdTmBLvprN+wtaW24xXJQ3rjm9Nyu/p+cNTvPkFt8lMY6Y3n2Ri5c0HhjwCgZh
FVpoZrLKkB6XAs9FE3EDd11+pCneFSFPFrwyXJjcHdbY3eaa+Rq3Y3nMNPM8tGyIwcf4a2NEgnmy
G+umOjlU9nknXvSG2Pq/v72tP7m9qXUQOgGb4Ir6jEPIoa7WZHYU+9ae38t2uLYqz72VKhua3NZr
/fWj1a46F2WhS6X3454v4247jy3yipRvI4YJEXyZbtzMDZyhMWx46FHt67pTbtypn/e51io0aFmB
CUUkmxr58nut5O6tbFzU2BHPxW4ByldylvuLbZx1hTMm7eanwaDcUhtD+paaABuOIBflDpV1RGPI
8zA22DenEWU2+qXHDha81+jdtYGC7bt9fguG/yrMPtlVOfzkpMkMVivLqYjHxzQsCDTVAFeDxny3
2kVuG9ldbbqDfZZY59UdSpPZPxrWdFmr+c7+5/P1vxO2n0zYGHCt19pfT9gOTCxK3Ju/n6799k3/
JE/aJEtDeXA0wqXXKRr/vd+ma672DyhQlrOCdADP/YBS/nu+Ro3hYjjSLAptwGT/Uv4ZAFtBVWGg
/21ap/8nyj+GdRz7f6g1UOmh0kVnKFZWgbsqA39XzyRWgkBKa+PjVGvAfkdJWouZ4huQtY2YitwW
gU82dR9kVmNPWsEAqM8GxwST0SLR2DdaARHH4co9Lostwk0+VOtjVFWn+x4VrdhpKVDU+8xNm+ca
8bjpY1mJUp9oVMzFg95CnB4Lp/byED2A1xfqIjBC9taNm1o266OxIQ9SWzrhlek6X8hto9kMK+qQ
hIMKh2kbysETjlJ/c9PZfmfzNQSd42JLWFTIrNCau9afHVM3Aw0pl37j6l0ctG5h3Y60w14x9NcW
O+HWbiGgeKxKVYPVmZY8yDSd76dY7c5NpBfXIsXNsLGniglH6kyR6ZWmGqGnSOU1N+WA3wZONzuv
eR/BYzvqsoEKHzu7KdEZJ8RVUhEVQNeitzGS+G7k2RBMJsYG0dn6c85000uMJn+gnrc2bixeI1xI
d9z5boC91bj0etocBhi5Qazpl9ha2gDjpr1R5gQNg1Tyi0HpfTbK8WqqbI3NPMeiJyc7fseUI3cC
FqWPRiw7aUXBXMqa6ut6FPK2x0l0y2JXnMe4NPjZ+qW/UcdNrVfVOZRN8ZEOlkvwhJi3rQl8CqlZ
e9Ut990MwwrZFN4UBj81hSN/wZnw7ApF8xo0gADdzeMwkihsYxt9SJvWuBpkQ58MaY+XpFXxJGbx
txTm45tZWSNH7XRC/DUHzLMYmGCyZVcmlfuhmoqHvMkKNGXE8ugEOPIUwk4Sutl9k6cd2ZZZ7xMf
0H7JJnoR0erTecY4HEjGsBvN5CdV8P8E6hBGj4tjI3gnsQ8LQVpWaFmg4zcbdFHayYhr9Tir/fec
r7+LepHf20OJzh9nt3u1sUbfO6irEZmFKQJXDPJnOpCOkoGdTYYLabcofXlVda5o2+q7Gz0T4jTn
uicbg+QCLvvbCirpV5R2oDaUrouPImVchBU2r5HTDCKos4zRYxqS9FH3JwsS7JHw6tuBBx/OB6vE
e0k2ISkME5vNcp1Yt1yDeL1xy/ah0vnW0j0p7FzidrkC+lC3oX0SA3r/ti5f5rFPL4xX75QOZ8/c
uAFN6JXtXr4pHfneSts+EOf3NK/AplxvXwu7ybdo3LvZLxL9ZAr0XeX6Sc3flYiw0kqDA7X06rPo
3ckfZjfcUz8ptyM0603YyyhIVfGVw7C902UxbRV0p7BuIxPaeCueBK5C7PJ2SxVMdU7QPLeVcrRZ
inpYO77iTKs3vV00uxyXMKvl49IlN13RxV7dgRMsk3MZsqQnVJ1sblHAPkxpZEeZMI9IJ1+wbLwS
pJDfS8eMDuCb8G+jezgAzpvuiylfdmWXAVFgJbZbssm6Fc2Aq8cYD81MiGSAxG+8H0X3xMRY2Sv1
bJ6RhcakQ6AQEKP6gDBY5G5QayhPGI2MRnGDr+BcNM63ihHlxrIW9zFl78r8vsxwnSbhZTac5M6M
27dSSPRQNbXHkmhvlhyY78WN2r22Db/yCtYOGpnrpygvEbnoJpe0GuX+UIicDWqcX2aOXaapnHfQ
kvE32eX8uvRMKoeQ85kKo7tJ5ml+JQAZH1qRqPVD3UwPpcqEMXLK4q7CNQN5wWXze4kI2TsYEtXB
jv0169TcJBKgXdLqILMBJ2hSdtAmZeleu9T+kBUKyYhtwXaMnRzZjkOuBWAXhAvkRRdV6AsmlxPS
lN5ETisTS9lqC05wR++K7RxjveFwRzA49U9xTh692M9D2R0LMs2JdgUm+J4pmPfIXEjBiZBHrLOB
bwh19kgkdPZZj8ToZhKNdT/xwH4wmpBbJBu59NCCDeZLqyXNMV4KsgtgdZrfOq7+xNcgBzKqVkJb
4FCW9rUGUMEaXlObY6VDJq3nUKGgTMsIsHh3mKmn7+K8zx/wEhu21wwQNQgP4sJ1lzH+CnKm3Qy6
KPZaEsVvJBqqLozwBpxZNHfiJjIa4oZsISnZlhEq6iDRkozGMAwe8AnlXnK0f5SZYPkNM2u87Ya2
vcwMa1UMtDPylEUrZUTL3pOaBA2sf1Yxmb3VjZp85ZkclcQc9betsRR3RFW7H+oU94AW8tC4Kvho
nhViDc6Fah+Y0iIELwzru1m6JrFNsVH3mBOHnIRPpARmNRwKTlu/dTR9DgjcXQX8Ie8inVrsPPXD
bN4g/sq/K6mahsei10HPWDIZ79kvWU88R9yNRFm87TERkNdt2zIE3KrFLIeIInjP0A0IDqMofGK7
NVwmG1kB1LFYuTAwbmFVkv38FSxDdjZyGUVcxZ2wfd0tlgP5ptl30dXZVY4YsghA0lFmlOEBSXgR
EJjGzSqrrr5bagMvEGkRzuzpUDqKzay76q3M4/GrOc7jL6ET16+OwDtIOY2ERIncCIZpPSvHRkuH
CyQXdFIG4ZrvQp0h9eIBZMKFy3ff21ji97Yyylc3mkrHn5ewP0jWaGOQJmmNOMku0ufaSYTwnMro
rqlA344d0qjPVifzA/ccrqFeV+XszwINDT+5uzHsRv0aul0oNmWiZlOgDQopULlIrqEr1R1Scdsv
EQWDc3VEuuN4RlJpgjlAPKbbN/PY1UeNZJ/AkkIN5qFvg5xBsmfncvEBF4pNrZq1j+2+24CLcYWn
tfJe69suaGnBbnJl6DEqhyx3JjuVh9YW9INFXjZfsybtkONFPVF94MSql2zWZbnpcJ/VWNzr5RfY
OMZtqKLvNnTrm4hi94sdl8VbFbXV1mARkwcc8WHhkYPCnASYDSci1gf1kECounUXYb8ODFf2MpaA
uvTIXOBPMEr4Zo84MbpQM57cLo5J3CiMCelZg7mgrPRqj/OJP2bEADh7XJvz1clC8uQnPdbeBnfA
l1qa8hX9S3dvuh1i83TS1a/9QgG5idSx51pS295zSlv7znCrTjdhYUUKO5s0fEncrvwyL53Vbo0y
nk59288oNxSFtrAhY6aAK3JIo+yikiHyUpf2OSJ4t4qLAXenshkd0LLl3Ln3onPVc2+LKIhcshAQ
qkn9Dnej4jlaZO9qAhGkZzaD+AYnd50PVTJ6IqbPRvhejMg3NcXQZl9rExXrbhSdW1KUNyMYqoOe
5sNuEWYXLNLIt72q9jcaGnuLHfovcar3UJt6ywaDhLjTG1oivTOra75E+H6+WaIKt0Olgkfh01xa
Xzaiv431KTtElFmASUJTJcepiVIB6UWk36UKWtZD3lF6UolzjhZjvK0QZj/n5Ow+IkGLd2piKvQH
YX/ToJpG5wgc+pSx0vcjlRqxGFmJgQ9ot2QY93snYWy27m+zl5atS+PhzEBnGydmF24k09wNvoPl
lCmaPI4YrG74DfMbnRzh93BJOpZjXQfqox62kWuUhzqPjEDPlmfJUr/3NV1r3iKjti9GXSM/V5Pm
8KP1+2+X/JMumcnLmlD6113yXfNLVJW/75F/+5Z/eeOsf1CV0R+zRjMsOIX/6pEZgv+DmQ9PSpO0
UJWv+rc7zvoHtGGX7+NkQGClMzVCULmGw/5wx9HP2kDIhS2s/yzUhJPpjz0ybEp4hjbt4Wq3Qwv3
aZaZtT1sbEqpS5q5BkBDA1rGOjQDhOCGUoh7YdWgJapcLZtt+Gte3Lhmx2VYTMfpXEP4laifayr0
Lsk640qVBCfn2XRYibKw5Z7wJDlyqIJXtVuX1+p3/BkjdQDKF5otfBmrt6XXKgSJVazjWthVroAR
FtfpEae19mEATqk8t62db8qqzmOzFB3tbLUtVBEnP9mCV7TM4S5akPeRuoJCHRE8ilnD6sFR6Ljg
8FPLBmuxIfCJIxpkPUUA96ojLFdFobVqC5NVZTitekN7MPtXVOD6RqgS4UNTWvG1+SFXbFfl4gBF
2w2gvUDQMiS/sQeSo3M2bZ3LwFXj+FSH2TYaksjvaJe/JatwsgUckp5NHNABClX7Dpotkss5Qd3i
59Zs+h2wG1TY7uQOSJa7ZH6wza4jGSOU80s4s/VWOJrgQ01h9GALg0iGtqKOwGcCXySxQgx94zS9
cG5o5s4Sk3qISmNgypy1pa+Sz6ZtbYjjkWcnhnzG1g+3MqohF+DiZ2baluoKQnEAHRfhgtw1G238
0VDnai9dEn3VXNJwBanZtk1g5cBNu36urQu/ia6i0h+KiVYLcW6i9uTCrYJdPF7xB+2VAFTJXqZN
BMuIyLACs076oK9i+75mPo3hPs4iBABddZ+teuG5Yl2qFrV2r6xq4nIorGMomLZAK0BtPEqX8QI3
DV7KVZAcz9T4GSJuEKnbGnHEjSBWZ75Vy1615ZEWdXSk7+Juc5wNb4QABDDEpbyIrI7R75SJhpvB
gE3HUMUhWp1hTStuUPoA6/PiUnMc1kwYYEVQLLx7932LnYGidbAfClkmY2Arkyuf8mawa+aZLfUJ
xh3YCirSTnxQE92fpVMrHNMqbNwbiwDE79AwZ8k4287AgjlzodwMZhIRqOVM1bmFYHlDqxATClGO
b8iGmSll7dhvZlTH82GK5tj020ovqe5ya/Ul4d/C76hiBPA6bcaBMS6R0u3VprC3ZZQkl2SatcWP
6wGuYNWEBXd2iCyTzeacdAGIgn7EgiSH4WZZkr4OAIQYfhXzaQaSRE0NKbXSsFhToM1dLFzlrd9g
BLBvp6UYz3lrqrsmY/wfR6i9uOIEmWSpLcEwKHZyVirIyVuatjymrFOtJsB8Ob7oSVvtOneqCUdS
2yt5Lely7/bKuwL9mXsKhsJEYlpKV9pVRgtkq4ZaBDRvrl6mEMiV58x9/Lgsjl7tBAOdcsc/xODp
KiXPTU6i+QEQFkgB3bSIykvyXLd2OXaKdWgdGpCkZfOBXuWL2VvwaRKzXR6GDOX8foS9WB2aECah
IxVmJ22rIu1I9XtRjtyPoXDpxFOqLIh9axbBXKe7ZTKcY6o4MxabkSTTm0kbq5NttOVCX9lkO7yC
7YrHD9EY81lV20gihdUXYdyj6lGHrdHHecCWXD9VFnYPw0mJfFNQtceBiCe4UYtIAtUgZcbrcKWk
3xpofW+p2ilfGLENX0lSHZpNUwnBvSamIVBSsmoLjdXPoYlWJo7Rp+3GimEAn/gC0VN9MWJDnG5R
nHoWtQtDm1ZBrE4Bjw9ARaOYCyYwPdGkemvR0ZhWE7HMH+TAxKDBkxp2lD2dV5lFL27JzEQ+6JRh
/qjNkfEEyO1ZcAmzr2wn+Bpuqep7bGb2vQX0IWAdNAedDhfHdktb3ZQQVDa5YmK9WvWEV+Yf4pwX
ej8QLmcX2i3WrOp26RYr3Tl1ZbzUHQqAieBctpwJFDwtIUvOH1jNEg86pBNZimsw4zJrLbPOiska
xr4putemIWyIqBT5vMz7wrC7NatU/EguZXYzOmeAN9r2v/VU2SXd/JN6CtXJGqvy1/XU6a1s3/64
c/j1W36rp1xqJsQQtqlSNQlX1yia/hUSh3LXFCBOnTXohgiaf9dTVDW/1U/rjoHlg0apgzgFha/2
n+wYNPG5fnIN18Dwiy/RNBCBfdZk1cC98zSarFOhS0fzkYlpoPyQR42137eK7GqM9rTPI+QWowrP
VTlrpt+YqsJUcukQ6zzkmEGVglG/ZTTTRlmmRoR7J+yBhvTGgFfCJt0UGFsMRsHekjRaiPHcgeSI
Jzyv9ih8blScT9uuzQvrZhB1+46g6b4jup7BhK4QxB1b9jbHnMqAu46oW5b5AQHvQtZ0FycEouB9
pG1BsJEuO7qJFbA5aTnkQZ7heJKbNmn3ee309QVCQPbQ1KH7tc0XAwtpW8NvbpohlSe4e8TlMtF/
UQjRqHiJ2Vo2k5vryY6ZK+ejMZPpyMbQucvq0vpa2/YYKG41vmLeSS/wYOxt1VMJ0cchoExhoHGe
GLCcscwqcpctRX5IcbG+Wq1Zv+itoVeeBhHzvXKd93yaz47agC0dMp6P/CVk/WgZEPYSFVWWrW0I
wHT9yVDxAw8IPe77FFqWr84z4QIj5RqqBZwzXkU4AiiSkKSBUTOHfUne+qVnkPA0xQX9aDOPOzZC
873b6vNRcdMauAqIFIVmUkn2cZ4m37kezPs0w+G/GSpducPIyLKEQxPn46RRWXTlY0wpsVsA414q
xgP+gCenQvbV6bfCHPRnpcpb4Vm1btxVIuoDV+YVDTnT6yHRllOOx2YIkl70G00ve7iQqy8NgsPW
GI1lnwvkAKyi6uVVmQu5dZJc2WHGWQ4i1pd3tdDtQ4xD8GFR5/D/2Duz5biRbMv+Slm/Iw3uGBww
69sPMZPBmRRT1AuMEiXM84yv7+XBVJXIzJJu1nNVmeUkUQggHD6cs/faV71RlxclPJx8bxP2dz31
i0ui2W4a7E666er736kj20N0ycqA32gdv8Ye1n+EIFZtSCsdoNaYIR95zUmkO3SHmQeXEWrqrB2X
rRlRhvzy3xn1fzOjWhYF8Z/NqA9fC0iy7devPx5S//ip741c8ZsL3ozurn3KCPzexDV/w9sD450E
PY6b/PWfEyqzKJOnnmklSlQsT0yL3ydY+zdIK/roShieZ/mg8v/f/32j5Gnf/fs/ij6/Kamqtxxv
FbP22yYukWKEv9nkUnDYJZXwbRNX0aUwotEpzqjyMlj39EpIk95SmIbv0OVM9SsazXK86ORM9wZC
4wZegbVXYaAOdW7DtnSCNt/SpRZXLQVcFHRmuiW0pdiEIdPIemzYGoXu9DGfprrezPCgnv2wEGey
MrN17zsjiL0QJ2KgXvqi6s6gxIV7Jy7CjeuRsSwCenXLQqTbPJhYgkm+KFeAvEDJRXW+zgqPfmjC
XtWuau+5aNr8jH4B1tbY3fWtAijRoWwekji8BrniHQpS5h8kQcXMUa3dhStO9eVHAHz1Xg7Gct4O
GZqNkMXoM3v3CmZJjuuDbVEYXpbNjEEv6byLCU3QXT9isi0ydTv0wr80E6vG9B2Gn7KoBVJnpcNh
UT2U1BjJdACvct8oBLhjTF4Twu/bsirVWVPIYueSPEwDbBDXhfLPwyLFGjylN4YH3kbhmFvhNPC2
GcebVZ/Wzn1Dc5pMH9tc0/G26XZP7VnfLsaBBFVxbqeRcY6crdqmsuY4wu500yZmeVm7kYq2NXjM
ZDUi9xRxZW8lbL6LMMidvV2JfCdrgDxo+pbbSncaVWwEKzwYD2QYTV/mtHe37QjIJVBpe7uQa4JT
1812LoFeG6Oa5js7TtTnPpioms6fWAjavais5ACWUO4t6QePg0crO0kC94VzYDoj9pPJJRQxrXup
aMxPU5dv8b0z9eJEPrRu0+xqV8abmZhB+LuOpOnUAd+g8fjZa4rxWzjO/m4xi4loODjHW94bCivo
dzJNw/gQ9QKrJSq/ZwPVLltqWCaXRpkORxCIZDhQLolWsU+YZAVYRTeNwXssKcklpltcgwEuL7NR
fIgmths0F+36wIqS3k5lTY2X8/+1zBv/aNe0xPEH2Wx9Y2Hk6tAbfTzvoLwT5+z3dpoSnTGN52yf
d0kh2UmzFbF2cL28tRS0k+jJyvww05BaF/hTwxUiOIgvAKCJu4dYLTdJTSZ0iwYOphIrpmEghnYo
DUV9UV82rnwGSamCixpfbXSsRPa7GzfqLi8drIqeMM5aFrNA7rOOKDqCv/2x8L8sNnS9bRjMy/Uy
TO0N4CMvJ1jMCpYLu8BL4HX9B/zv1k1DLbrpt1mqHoixQg3V9GJLU9E/B4ckdZOnzQDtcIy+q6DQ
JeM6hgp/qGA8NR8kFHVaEnBrOXFvEB6U6rxoHa81qBIlMA+YKHnu+VAtu8BNEHFvyzAwn5aoHru1
WRnhVT2rXP2Ob1LWmM9Jw74lv6oPXqA7IleIF3/FDLeKOBQjhO7Le0auk67we7E79BtbgFQfMth5
Jm25z8oIaMV6xUAWvFNCNFiVXt+D1OsbHUlP98u+HMPcf8znynlOCcBgpJjQo87okJjDilDt6abo
lP0y2+Rm7zHxcJ5FtKxAMxmxTzVcUM/bFk7KJZcs1LWayRQP5BlQsAD1gvyQbke8Z+7jil3KsZ0d
IsCJTQ4+CUIoiofyWnmzLF3swXVkdcc0Gx1zU5YDBhM1qZC1vnCvJzgNO5rq/KuZEfbTODzjtQvF
4SEbPXlsXBrmcOSaGptu7o/YUiz3kv4NlNSY5AIbHcnGSTMwO7K31B4rcrQHbu/tS2AeN4XMLpaQ
GiyMF6e8mCInOgZVxVZy7OyIfZyn9Dk1rvC1Fz1H5sSV555q9o5Bq4l3NWH+Ct1424TEme6gFJn3
tJSSrSvbRSDEcYyVaxQFlq2+vPMGhRLNrYcnBy433TfLP9LqtlZZ3YhNOtkhIuZuaVdgRzJzlQMv
+lLP9WfWqOYKDaC7G5U++A+x6a2kWZv3RFAEuwl8yAfHDttbm8Mni0ORnWWhaq+hbRs7jc87H/C1
fqF14tzAtdi0CjcaU2dwgGVpfkyViDctyKCnQdQwDDs0MYfEqacjtNeF/aQE8FxPtA/HOfkUSUuc
O3UJpSKcdp1RENXQmUuy7ggnrdh4Q8ugQ7ncUIRIthF2tzYrqg8kgtEqdod+L3B5750hd6gMinFc
Ly2VHnZ90bWyfYSLzSS9Y2wxxfsUnjcoQ2jgcv37ifDQldQBGCH4nhuqDeN6wM24BZwf7l1uYAeG
d8hWYrQjpsbF/mhZdcNaSEPpeaCrfinUIr4O2O52Dh3vLYQ3cXDb2oISw/WkX3LCAe6wA2dabRu6
+VepOdaPyE3qyx6m640D1fSCPkyxXqIiuUgjYnRrKxqu0hLsqIMxSoNPPtGEjC+g4ka/I9kyr4JA
kBqZtC47gRzeVe+V5rrMLUBGnAo69sKOd+Mkatr70m2eMT+s6xYaN+3v7hbXypSv7NxzQd60PjVO
7btL0vLz2IZ0GKfc3KZzaZ5FZvg7KlV3LYrcZPOgSNExZgtLKKKAlSmMj1MRmFu7CatLMsLNo2W0
MSjdJqw3kwEdA92GjXBYdB8MCYplQ6GybVe2mra+MSI5GybXX9dYYdYLAeawwUOJ/J24bxqpZuqK
kD/NBChl0fftm6HbQB91nuUE832yo4RIBbrirG4NUc68Ve4cKUQJiRey5IU54oCH1p2r+Pa/+/v/
1f7ednXP5t9XTD50z9Gbrf3rD3zvP5mAFimWIMdwBQnOOsTne71E2L+RWieJCMLD/irE/JdG0xSs
GCdi4/d9vdLERtMiaVxpQSenjnf7+J/t60+BWT9oM5F/4jBDQ092l02n632GNaKhOCpnb770i8VY
UiAU1TyDvhlZ0HLI46SFpMt6CMPq2Dqw28U8w+JmB3Mz1yBBm5qKqqxKVOs91J4cntRdBKn+JufN
ZwtVZlMcULGHJtYPyyHPXTsY7yCCTQV1GZ+kUvtDFExAMg59Tl/Dhe9Dhxb8hXHtA1HIz8sGMZ/P
xkeU3jfUfHPcH0YcZNNwFqqe6uJZoCYjwWDq1cN9NfCQ742CfQYW20ja2zBB23nkWdoWfRS2myaX
ZdKrTEhDuUZEhrbGRTa5neO3zmJY6Xm0r6kWWeuxcIOHIpcUtal40/nFt5Fh6P484v+Af283RPaC
FGGPR018auqzhb7BLiqD/tmn/7vikMHOlwgg0nXY9sNiG+DMopdflCzOEyodGnxJ64/Yg3E0h/oI
awMwP2JB/ItRmA7GGRjgcd6kqRFSLJoFaJSNGaZJuAvsyoH1Lmlc9fshMNGjHIQZIqFhHkqHOp3u
3IwmNNyftuT0s8odiWvnvz3pV47BL2qotGkpWv5kRvj9uY04fHZv+9J//Nj3eUFQBxW0fsmE9uGs
ahX293mBvvRrq/rUd/4+JWhgK7YtnT1GhDQEhH+e+G3nN8d2cN7QqFY2ENi/VVJ9a4iwyYSlsuAL
JgbqC5KaxNvzPg3cujfa3r3Nhyxf1kU89ehf2w4N8Fi3n354MH9h/NR/2L9modPF6M3TZUciTp3Z
eWccCp3Jhr7c2beRQSJCYZfyYe4G/xELDdthICM4MU0Fxn4glvM/uDRcCOZmOCU81Lf3GRupmDoy
BW9PyO/Cb+jwwNdnmQarxC7cm9jQU33VeO9ggc/888u/rVvrO1cS8LKpBfp8ce8vL604LHwYLrdZ
btBR94yBxpiJMro6JzWDy005C/7Pr6lL/e8eNxdlqNisLacEw7f3XFRF0IeVL28dWciHgk3zmczd
Bdo+RaDHqnO8CzvWLGpKrYgOoq7vXtyqjfeZ4fIcaheaXqXCZDqASiQKaVkW+9n1JDKlABGnOA5V
AOE71vE8oJkER5UpKyxr/fP70L6Bt6NGSZdKmQMchPP4yXfwg6/AGz2rR3YuUZYZjBUEbGdT1qfT
zmvpzZ1w91P6yzxDOht/vqoGI8Oc4cLvk/Fcw1TJ5DTiNhGDeKAizZ4VNv43M5nqW7q6051jV+KK
zGySoeYIx83P7/rPL6ayBI4OxSGVcfP+XRl8v0DlMYlbssOmu1i/MLNPCEo41OIXdJ13DrvT6LQE
XB38IVzwT+7hYFZdgQRK3Nog3O+MKirSHSVvja20rPYFiYb9DDdRv52a2o7WnpfFYOuNjAXy49+/
cVAtzJas1pZ6H7cpbaP0azMwb/uu5iWxoWeWF4h7OWRjd/P/g5dEl2J5L/k/ypx3LlyIfSSOWIPk
yMDuvUD/vKw5pJXHXpnlMW9IuLGGtjzWdcwo97NFXOUI3yF0JYJkIpEs5dFwh+kuhEZP0pwpvYsu
Hfyt6Ng9RdFAOlwxJ7xlDlST8dynu5/tfv7ITuCDd6+IAudP1Zalgi3QO1lRkoVB782+uA0oK9a7
RTXN4TRuqJ1VT02DQZ7OP1PuzAPMgY1uw3jB/t3Ofn3AzUvBIUbfk+2XcSFZQAREIHkNhMCff86/
mAUVe2IPngIf1nnPOTAm+sluYItbQgx4IKfHLKqmehJmIB7qrPnVyGaX/PYtduGRn4zWFM2pTb+/
Yt6FMjHTuQVrapVHp8udZ/Q++i8WgoWeKLebxnJbKNJxEGDYGBIsCiP1w/u414UaC63li1UOjHST
GcA0eAliy2bi1GPi9IiQKLB4ccL2L9pBlccZKDqpbLF9JhU3tMx9+QtLLHfw/ra4E75ni5GLZp6+
AL/+w5S4eKmvasQztyg85rVfzUuzSZSRXFPqm7tDMUTDiBBkSLqNdBCrUP7Ig2jnowkieEQfO9bz
VLHdTuSwNXPagMNJuRJBVhWgH8LZAvnrBAuqh8UH3BeNxgfiK0Iihgn7a6gtaDEMfrWo3aBF4s1I
tFKGJUCLZpKM+DyvKm57Lafx2jy5kLlXXg1JoCiJlw1OYXgoxkcxq/RalHP2xaTbsMnYB0DbmRei
POZpiF5m/ErueTdHxSbuWL/PTd+BaFBbSXVD7hSFs+mk+rG1AMhRkQfOTimjeuyLLBk3VqDUPXzF
yMS4icZu1cihRtHghIhq0APOxDx10vuMNbPxoCK3XXogJqGDY9j3dnMm6zk2zgLa3xcyJH0LZV1w
btKMuZ/HQRDfhuq8uYUMgJgpcbrCoQIh6U7kUVhVNyrMs2ZNASYKNpD9/Mcw6ll2U8aImnteOZfW
7bbGmhlu2Rr4WyU6SsOUZ53nlsTHeF14zDZsAZmIh4pVoCX+BFOZanEPBRbMHQAeGaUkgaTpwktV
CtEego5AerW8CrGskyoLBGR9gV4KrVb4KtyqNFvSDuPoagBm9MUrUhf0pIxMlLZJswFTFV41EpBc
g+2D02P1NJrm8lFonKXUYEt4XvIz6rGSSiu5FcqXwY6jVPmJcovzkbqes6pPkEyNywx7Tc5cNETT
7Pl61hHd2D0lFQc/KqRNBlZuYpfDDQ2Ec9Y8TgA3L3ZtuuuJk1b1gEoOcOdAFiUUz+IV6Yl5xKS7
jMujVJtc6cCdVYd6Bir4iqjbQLdRhRwlnmY0hgR8EBxjkIeGw1r41Ufat67Fx02TAoQruYDezjD1
5mdxprsyTXnSAONLqFgemyFmcPsZkKxCZ5dxeF7lYZB9mIyWb2wOOhaFeSYbZVDEz638krkinhmV
iNsEi6ld0FReUzKtnnwaAJwShY5GjxOU66bZeKTWETFCbajlq08HpuzYDm975S3deoFq/Rw44whF
32S/2mXaPJ6PAH6CxX8csUu8tEtkn7laTWXYzEPKzjmkN4CKIKpGLZzY3OKPn2uHD8eJo4Q8hV2i
dyGopHNeHtMilQ+I+fVvKjP/ouuoWVO7UgGucdvPw40QOrcuXCbuidKuuAJlw39YVErIrOfwcBqp
OdddZvE7GoImr2hCMMX4Dp8qrMmQ8VU53f0hCTOYUU9zJHs47yJwWEQVXf1DUHrtS+3rR6lL9A9t
2/OPp0+b9z0lcgsU0k3JthOfoRPPN/VpL5JmRApfF3nawAgbxBXiUIGfmSCkWY7iYRBEWEmZzHd9
zHHD0gGYFJNZnruJFLhZ7x5nybMX+cxN8UpypTQigy8uGQy43duXoZk1tTZh92mmg/MMTd7fUnRp
X6qM1bb2w/opQXRirae4ne9OG4UF1cV8PiWZ+1rQSwC6PzU1H4ZybULMLP6zdawsIodqw7yieG+s
3TKgwgkztLxgGPHdneI6YcCx8LQlaoaAT2QmJpvwsiRf2xFp9YQdhNV8TqXRbAPps0tvFx06U8K5
Oqvbhk8+8DPkyVFjmC5qoyER5rTBIZPYJx43IdvodPix9NZnTpDZbaB12NDsDEIdV6pydQPEmb2L
KHfs50ghfNuz7PABK0nzc+UZUF+3aL6CzzCpuHhxeoVE4CTTbqBmwjaIlQfV43jr2WP7AjmX76gi
f1B2/KsfChbgwnaY20p9VEmpvezFLNgYUNU6c/mmrwq4nGfcTnm0CHG6i2c8QVBVMz7t0MdE14ys
uJ0enk6RiSszTFiZUohuzTYZ2K7aXjL3l9UYGtEhj2CCgZNAModldfHg3PK/CxmgJsW6kPLMOuH5
j9MQq4ck9Yia72oz1k1LxkgWZc4zvgOe6VRBi3idBKDbTHfEhPFUMlopF6iMrbMaBtCxcvXl87Hz
1ol+67NOVE+JKMsjuU7Nge1+fSDHj281li36TRZynsPIFtQnLvfRiMiVmubQfW48eDopYB967PFi
ELHm8MY3aIgGuo2MRHtKRHscY6YAB7808b5NxuRjh3XY3vgTqM4zDz9JsEpqiGM7idPikDfU2uNu
mZDzcRxtIa91bIoIPmQPJOl73c9m4hAumYgHaXicAdDgsDRNnngYrYaHbMlZgIUOEp/IsdivntwQ
Mda6FiPxZfoOWYnYI7cuM1BTgno4HXjBrlZPi7B4RUOOqDFTt7kaOdI+9DX/sUT0YG07vUtb0Jtn
rzvG07I5LyYjqsqALpIyzb0vTgVPQXoEw/Yy3zQERt6dnlpTDZO/SUaRLZtGf5zI5S7SmLi8qu94
X4soxKuUEg9oLjNR3spaLJQCGbmuDsX8FzgavFwAz5gdo7ZxLGzg5LQywAOqoHHgWnC2VX2YYyfL
tw4UBuduakYdikqPc1kbjek825OeWfjd/mOh234ZuOuztC4N4PS+N2bnwKr5aXDnsr6HKDUyRIKU
Bw36T1zFyWnum2Ri7MtQMMmzFQn1kdwmsXJNO6Q8nh7A61ykD+7QYJkX9MTahIoV5zR2g1BrQacO
v9mk4vlzwzJ0exqftuyDfUIhYD8UtZ1eqt5jiHgmGEAbPtF5FM70Q14HRI7H/lulsAGukcc1B+Lu
gAvqvmjoUks5jQp3SnkpUhmIKxf6017UhbgCEMRDSFuSv9duUQiwck7BTIR51lhjxaUIAVwnXlax
viFjzBl94HbATdojvzazESJIEs3jFUGYzYEhJx6cyC3HjSCqwVvj62WFgaFg7cqKQdNj8n+0rFhc
O9R5bzmpM6hNQ+DS7kZeldMMaKcdXr8yUDxsEs/08k2HEhmIGnlt9AKEbyy0SAuvho5JoQybIdjV
hkdqZ9HrT5v0kDK2Vj1z3RCP0F0+4x9dVRzVHv1pZuPnhNw3meg4L0YJL3hDSXnSlnajQvosvHg6
dP1QRNdC6zLOCi2dbcyBT+GQQUjAYlwy2k0RLM1D5/RsQkIj9R9P/eKCXjz3q/zxxu6luu+9Kb+m
CfglMgJjDSuhPTi4QFAVMrOPaZh8Cy10I0pz+yyXI/V6KHHpWxPLIy08VqSZPOw16TOdzw5ldh/T
ZOY5xxVfaOmMy7Q3+oSggcKbB3qcJe7iARIx3b/k0rJbIbDNO/kZJ/vpUAhkH2sCbYrLoLTKb/6U
sV9wJYAyOhaMsKaV+Dimqe3Mc1CMWXSOS51CpB9F7KmIs+cEk9GbNUpJFYYqW7+us2A07sNE8vU0
hNVTqfIFD8lyyLelAgh31RqZcBo9+dcDe5xcb+nqyIN4T6TkHsq4se51S+N0UE4zZtnR8nlV/agu
sEE0fLxgURSbZMn+gF4Gn3Q6LSYB/donqv9l+rVkj8nq4lf+NtFruKA5/BiAJgpXp4NhaEJVhKGX
4LNtOua00p1UcKSehtszKv2L2A/tM+2suAonx38URMS9IBX1Nq6V2mecwfheC1eyfiKyZLTmIbPV
4sbyYeDK69O86SepjjFkwdyeOjUy0/vNKiD4Fbd4nG9wFzBHT3b1dMppLbGDwkTlFeoyxAZxYKTn
RunsiEHmcy9LyQrE2S46SCeKv9qDa7ZHp+p54zotjnHS2r8wXncYNTUSnaSYp4Vnnym1mOqMA9vU
HYDr4H/s+2Zfdi3RDraUHmeVznk200U8eJ4oj9wxsxJ1Hh6JSgyWjSCQnCRyl4XFHWaXsHLT3Sy1
IveanL+rZgn1dHDaMjtm/s3FJU42OW3bHYHxhM27cyd3XDl6QJYyfYCgqQMv5vhD1YfppuUNYXbm
tLPsWBB7Ilnd3JTI7Svjpjl5HthO43+wGms6YBc1vvSV5bwkfr98xR85fKPJ1bLdHjNo+u4sjwJc
4YXQZopM2yoQ7uGw6E9uixpCab2ty6k+d6wpvooVnowwcePf86oL7wk5HKZ1nyOPSbWHA6DIfOVb
VfAhMlT6hZBy/iTnZPeIT9YP8lA5sWbAdMUaeB8oC+yS7tOpOvNf1+GvOjzuqYDy73u+v8ftl7Jo
4zfGQ+v1p/5o8Hjub6cyMU1fOJ5v0Ne+/I0Bjb+QRHfi8sj8/aeu06bJ61nsHCgJ2RKTIXWcP/q/
toT2YynqGS6iT0qTf0vX+b7wRsIftVQaSujAT3zut/UiGhNR2rNSvm42m1xMN46gr7vMM7Ne13D0
+XuVPn1Bqvb0eXTdzRXvClQpd12B5nCOFkKYDYEA6K519dqFkXIg+uNXhb73db7T9SDQI1llrgMX
9/YGwfssLexYm0CYyH1O9NHitFltneFXhfn3tTcuxVdNS4CGBHZR3eL/sfbWRGMU9qmwj6k+g8eK
VhW6GKYm7GbMqgtncpUmzFf6oPbzp/oXd8lIooWIvoA22nv+7Vinw4yTwT62krI0bBVdhncKLZML
2Ub9/GJ/6gpwo4xAAVDKhX7rvS8yTqjhczXF9nEsaeZxBGRHQhypyWZ46BSrRUEZLjpHxstxZ244
JDMHlhxbpiymrCGLX9Xq/3z7Lv07TB8IpIFZaXPvj08+ERHn3DCwj95oc7sglnVFNuUv/9m10GTQ
eGUIM3DeDagwscwMhYONBW2knmAb7YuCNH3X6231zx+0HjA/Fu8RXFO3h2rnKCRLYGLf3ha0a738
9PZxCKJvrQSgzQHm73ZVThehwXv6O7PUu1FLYdtWnczs45JSuE68gcOMp1GAgr33r7qdQj+d97dk
SSXo2+ne9XsVOWwcMSxElhwTCQRvc2qgiMBg9501bfXk1SknInfmJdUNpznqrDMogdarZOGNuv1H
NftfjGAX5j/1Z/2q6k3G2ycbgK4MAjcl1h2PB9kYhTBWWGm8i8poGaEcfPJtmkr26vMCY3Rzenkd
3QFlBvlVB/qvRq9tk0CA4o7J8X0rIs2AA+Vpxcs7cG487VPHgt4AJxl/+/MR9VeXIunEo4PG0vKn
PvtUeRyxVW0dY4fH6/ua9ItJnKneg575i27E27WF6VvHOpiKZAXJ5f40fImIR2VcV8Z5QI0A5LrR
0GeCtPK0jBQqh2Jmdvj57b3PQ+GSWMBw6ruQ6/iC33fTq3SxJQ1v/9wMqCTYHmnxq7Zp0cHg/7yL
W6Q929NpIPKo9OHwpRpK9+CoDMhA5Nu79WHRsqbTDPJa6pkXqimrIEIvv4l1WebnH9k5Kaz+9Uqg
+HBxIugmNpIOC5HZuwkFnU9iT7lln7eZCXZJI4tKDS8KRZv2SInzmZ4ih4UGxFGZVLMLY8xxbxuK
K8BmEtKeVgFQ15jWe9i9LFZOcBUaRXf1eqqV9DCiDTtDqjCO4JiHxJY64OnQA/m9OZgJP9boSpoi
76/BACCts1Em9VOnu1ZeaFsEyfMAgbkn8w2yRGqJEBb8R0iVRgIfNajFQbSEx61aFTXjJvcjN11n
TRxYOvzbwuNb1FxDF6hAt1GbrT0MGvZAxjQ59hTl2qhkhFQ2Ryhq9t2yN9hyu+en3lzbhTl1+EYU
0XmaRd0LXaT6SVWFrM5zEc93wmPXYsjOoNYDQTz+JGafr4x4VjdNVyP1oUcyrBl7Xeo+AxdjtNsE
XT/PwqdALkjnXbkDhducMukXEtnlYahVfde4Xb53Ro69iri+YcX8OzirEet6vj5VHw2Lgw41DXp+
BIauYcVMdxntwkfS5eP9qUF+ah2fTqjdInk+xA2qu7YNl0eJofCl8nU54CS2E1PTvqRQs0GSWR0E
whYOzdrDuvDYVzO/Cxk6HLGg4E/J9bF76Xhu6P45lp1WuYKVGsWuC0Z7zqMmOWAnRgk6Q0XioBq5
Np2JYl7UeaQ3Jqce/an4biaS0y/dtGmbmQZlw1OBFHsaoyZFhfis3JSnSZRd1VEQ8GaSYc1Aueen
o6RBfavdt/ZAi1hOWgBiOSrNt03HuuiWEe9faYYzEInFE1eRQeNrMzs5JRkK+lQuFLLe6g9NuygA
7JI6hZajNZHq7zEUeFpLO91UwmMt6jqFuGPOWJdX9NQ43wN5XC4XlS0hYaK0cIeydp5dumlIdorG
zzaI/5v70FrkYVlGPBEydO1PxTAUD94Sz5dZDS2obqdSYKWnrrcTMVyumFDgszDTrYQ2myZUgEvZ
b8w2cKnOLTFRHi59sRX+ZO1z9MxjbkeEIxCG7K9jp6XQT9uDML5lfkjhzW6BK1TVeWpqkS9jElqB
2Ra3lIw8EmeCPqdg0HTfPHvBYSBVfwUgn0DWeUpQK/YpM9N60VXd0QT1uOoQfHwkXKtpd1gb3C8o
CdGgd0VxQauzCXdayIGNoa/ijUjKYj/gobzyk0EQ+rG00adQd+CQj1eXwCrcPX2I4AiiQNVEQo7u
Eyh3iLZFtXxCilmeA9cMZxRf9vKpIL9xi6lmWbdi4Gv0kPqQYToWnwiSVd2G3nK7Sc1G7fVmFLfs
RM9zoyUG25o94AqheL5D3kxWSgQ3sSjN4K6n5HeGnKU6S5qo3c1OP38NwnLcRkZs3M5+mX+M0wGb
/FzAty5iULi1jqdMm2fVQUTwKHRvAogM635oxC6vSv4g8rNJxTCZ/q2gLFc4qGAeuor+U7emSqEs
koQR94Sl/uYroo2JQTigw5+dTRGDybYDwOUrMHsBVFJiSL2yainLt4CYytnYyrzsP1SpW1froWh3
vQbOF5H5JVPQqohQA6/pi2nXGoG1wSELRAk//i2rEvEvC9P7hWvXIzhHk29UoUK4oP5Q3CD5qm6Q
1zGoDYAz3fOpd2jIhFcC+KgzbcsKDuWR9BI22NKaqKEz23YvYWMyIZWLLx5mcnUkrhU6WY3C2rb1
+slBzo5BmYIq7mZ6yLTiljWt//IpEDTMThUvBXvt0LU+67HXOwE9DGmXx7LJ9J8mpqrdv+rwUEqw
MdNiX2PiHEVsNVs4d6BwM1Q2r34fOYSIT9hdD6fmU1UxbOGykbhGmGWRPcmyDtnPRfhshAVRC3NB
1Fb5JwfeW/VtrgZbtxZBMWWqa7dFYo9f0aTU4Ro+tfM7FA9Qe5GPA5rgQjBOUxj3JDIm0ed26J4T
yqpbh2jVcE3OYt1+zMBjGvfxUqHc9WTkXQ1Uy9ZuFqfbaBzrA0Ggy46wCewUPgE2wNTs8QNksPyO
FsU3mS0fJ2mL67STFK6ArBA34GNrsvtKvoRdFL4scTzeh73im+ONT7Y1dVmfVoQaIY5HMU69OmvV
OVwFyOTTmFWw7lzm8XWKF2A8QNowcYOV82XdwutxlykGqpKnvVi5fAvAD6gnPBrFAA8WG0F2OTWN
fb2gz7muhd3f5THJ6k0p2i/2YGTbEg/GZ8KBhmPnVgsVuUACbG09K16nEeqJERAZqMA6Y7rwA2eT
5J59jlzhc1AZ4/3YhSk6ut68bOLQ+ZSOLimfTRb5rJWavEINO7zyKZpdNpNjnRv+CI0nGsL2WcZj
BQ4dmUIRO/1RkAQIFbVrQUoKprwdebZYG1FRymAV24i1dxFawAc3rSoI4dZyXxFXfWHO/XLbRXBv
/CEcn/qsq/ut2bZ2fD4B83MgNKKxWXnB6KVX7kSBe+9HfXvglGtckChYfkDoLP21kfYkwuO1N4nd
ZfBcjazw38iiay/7CnruxEJ4LJIWMi3h6QFVe8HxImJy25MLImJayhXN1nBQw20ohxHDUhIATMPs
CZxu6gipmDPnAtgu06hlEhC0rsEqjRu8fX2AT6SUl52aF2eFgkp4RGSSD58y+34tJQkkO5/MJ3oB
1Hdtu5ZbK3OXQ9ur+K7NRf2hF3P76GWzvR0mxPhLMtEVUYSV2qCMBDHqiYJCPyq4ksESvSDQYR3q
TKKBAmOIs43No7oZFs4pRUYJe+3gGblGHzZ9MJvRwKfSIaaIrdraeYbVKHiYhbOrW4W1tpSx3+57
xu43sDDT75VndV9I6FQvowvJY2fS6G3XNL/ouiRlpppV4FG3h/xRx5smQs10UF31zYmm8KZNkBUA
GW27c2ucQEaVZVFvcPeALLSRoOFqK4DCZvSFpekG3cYPtZt1macJRVFJlpTT2x0ct96ki2ur4SOh
RyWymnBJrqkLK5M8gSK7JrEyg9iP3x/hsMW39sr1zF8pn1N0Yn6e9uv/rYX+ohaKSJ2Dyb8vhW74
Mpv4S/eP8ts/1mXW559jKoOvQvqzl//5P68//0dRVCF6N5FRAQjRKLaTvv0P1btSv1FdAS2iD0Mn
+fk/i6KWBzIENgZCeQoHnJs4cH43xXhUWX3OHGRA0bGT/NLfMMWccip+PJL5hGpyfNTVEM5rlr7z
H+tJM50SQV/dPKSAG/LwWxYa19McnCVkahZjcYBse84WdesH/UeR0li22s0PD+/m9Vo/Vij8t8VE
B32/yaVdYVncM8Gu7yoUJY6ByvNC84CTHMub/XH2K2SE6RY0b5hKbU6tNYgCTJadEedZhcke0Tdm
b/lkg6Jc8M7ihb00F2MVl2RQYDStcN4TUsrs7Awr9K0bY2AZNasvnD/5TZzFClLc0k9JS8Qp/ziD
FSWm7kO7lPuYyPfW2M6Of6D1hkUH1dwFO4oCO7rZAck1mtayNiZs7NkqHmfcJg1j4jC53orEwZUt
rWPYj6A9YUqxOlBkyrxVDJuWeAWy3Tur3bbphW30t1kEQ2Mq2OUQ1Hvr+k/CMrZtqJ6Xlk+QJwKF
HrIFV63z2me+iNhgZxs6jeumT+8mI3hI6rHZpsAG6Mt+4jBg7v8/e2fSXTfOpOm/0qf3zMN5WPSi
7qx5li1veGRL5jyCBEj++n5gOaus6yz55P7bpFPW9SUJAoFAxDtk5XidiADrrPrrgo0GjVxg7Krc
+wu3ofClANFZf6sm19wXOVqus6m+1VpDk6h3XguFDaOJU6IvuNiyywrnKqny5K1+8Z/g8ofgokGr
v6yPzfPw/DN0XD5Xr//v//5X+fz1uXoXT97+yd9NFhcTUdg4cEc47GNAQGT4GU/C8C+XciPlalSB
oDvoiuNPKo3jQaUJwOEDbnd9qjDwC/6OJ+ZfNj0RCt0453mmE/0rKs37Oi5rGSQb5lGYuNmOzfnr
aC3nVmu7wnENzJRw4NGt8+UwRq64/2VM/iFmvC/uvV1Gl5Ig7jhm+FtRc7FEP8tFGgexAJArmmre
OKMZXlUopFf/irby41qRRXBi2UbkHz9sx37BGfMucsohTnyYrSa6or8pL3yoSafuYnJa9ytoxR8/
HMH3XelYX5IcEvKkLolbFPk0qeWXS040RDsr6DERxnEQSCj4gvOmH/GDbgygseuQlPSRLoFj70ws
4HBXoGg27wGB2PW+81j0npToPI4TqJNW982jZqKqMEe9+bWesv68i0S07+Ik2ivtOVPRy13X8VSj
0K790SjUQoDphwcA/PVpJPt2Z8QVfMF5yKBv51690QKZ+7kzAT0kYt52ZME3SPctrxFwkMe0cPvH
oCUoj3PG4a+s12NbmocF+dsLqqh+uE5zZ7yxxVh9X5yluVoclT/YIG9XUM7LndeltS50yPXY1Opg
NngNdEtn70PUCXD5ntXWSieU1ImmZ4CGm8u+DfHJKAvn2WQTO5S+6jZLb6hDBw2RqDxFMX6qht18
E4C3znFBmm5AF6bjChRVCDwhdHemsPunrCDlLzZT2gd44gSzSpR4imh6zuIc+cZ8FyBIUq8V5ksU
0NMGJV/TqeqvYw+0FZBS+CnHeeI2SswoXStTRC95KPBwtyKsIlYVhpMFxJEMRANYGLCooZN+LdJS
W8XXbnmFXAHYZd9NmvNgVOPZPNbqMZwXDEfjrN/YGDCeuvmSQLDOcu8qc6xb0k1zHWvwStpF/lag
uP5UBY3cNZM57ELpk8BPjV+99Jrvmdbpt7nP201C9fwsicKxXVkLroBbweCkYAEvOnhwn1zHNm6c
OlvOzSVGBASmUXHiow6B+WqWx5gKNMadi8bySQzZ4SBVLbbOnBXnlFnHF2Buw9fComq7XRLsFTBl
yKJThkBs0tj/1g3lWlnIEwCIBD4YlC+mg9OOblTgtTCtgB4/RICkmKRtuTfakCTbqKa1mFRNAo/K
SxRz5gva4SynG+gA6EL9kbZZ/kx/KebDwRcnRkMyBaewnQK/u41VaZ+jP3jtTUpZKxzpXKY2q2fy
bHkB3MTeUjl+narA2Hm9MVwUdr181VZoa96s97WdiuIKAQobv69huO28wcAoKrztuijbjt7y2Rh7
59JeUnsLfF/gg7UgJh356q6uo3GdWJHczZV7U6vqU0C9xj5kRagoBAzUCbBU8jP8SmI5js3Gh9qV
U9EMW4jCi8jRy0mqAs8De5yRXi07YB0A5ubppIyoOVbrNOkoM8eGQb0VvU4w+cihjEIBZ8HNbwPs
SuT37k/KvJVPoVT3wTyk28gSQULtEFGLNTJrGXY1QE2Bf4V1vVdy8YPPk+EmIaCSwvZOOGbCMqAu
Poc7kYusQ7+6GnzyNGQ/byVudeHOaTOZXFJvHxHXrRCjuU58I0GtovU7kZ5FnN8agNWx8p7sNh0B
cph1jLS26qfIfsxHrDd33USMfEH6lReVDulgnBZzm4z9HQJrddXtqWcXT4bXFneYUWd7CkOE4aYK
cOIyMeAIEDLBx8SxY9TURt859SbkuFcIxijsFIw02nugHk+Vjc2XxZH7YFdw3VZTMWO3VekCk502
4J8FkGRAMrEf383zqL75dh2HK0B7mE4UGrIM55tc0q0BsWhOHmiY+jSbQEXj87zUZG1xzGIPgVl1
rq4bBTKwdhYNqA09A1R5Wg7VtTDDaWXMKYbIyKN8mXr+r0Mg424h885XHPvHdiOlqm4mx21fXR/u
DTcC+xphNGC1MzL+m9FPynSLSlxzEppldFV6mf9c0h7GXhDr6l0sggqaBgSJdRFW3Bs0Hn7nGUP1
3Q778tExB4pkBSiCDVKczV1SIdNHQa6hSDM1BVa9aVy+5f7/yQL/mAXqZvr/fsQkCxTFURKo/8XP
JBAby7+A+WFahYwMMt46zXpLAhH9/otepGWCWEA6kYPnf+eA2M9DyuLjUKk8iIW6Y/gzB/T4lQdO
JQRNR5sfzYZ/c6bUvOxfO9/cDvBTD7MtJC9dti/dLf0lfUHYea6q0XRfU3Np8+/sJbFjbpSyjQ4P
7SG350fYemjMi9kpKRSK2fO+TXHZ1udW4zWdvWsNF7RhgSoXe2UdxWaccohCNOWhN1F3JiC7rb/4
qyyeEol9uCM7V66dEhd3XAfzUdhXFt0gKjcJMknqAVov8PeSzRl+o0vPzMYYZgSJsEdXLevYHdlK
o35dqgl9sV0tc9HCJRBpTIHslxf5D6nrMS6A3iendwtqECgWttDj0WkEjpiDWLzXVigJ5K/C9L3k
COk6pEZR4kVccrKyuvre+X0237uaqdyvbSIlz1NbKpkePr4lWx/y/6cIgAx8EEQWJEEv9OiYR8eY
moC+WNWIPnmx8IkqLjBsT36YwNOA2KeGn+H/iL0CfBYIIW04Qm6boHCtcrNtiudmEjOmh8FIXfiU
zVzgDr/EyYK1dznxKrYDzVMywt6PjWnrwwfxL5elAI61rTgZoOZjJpQFoz9k0e9PIi5FFT0HqZKg
HoK3W3SEKInTghozpfhXU0F4uvPqzGhuqxK73euPR48V9evg6eqNo4VhSfqhKnO997N9JsZGC72K
F4e3bTnbFsy6i7q8yQqfnCB3r5RoPIqEs++V2Ei1WFPIW3baOv/+8Z28PzboR0ZxwXageYIMABag
h+SXdWehf21GU+6/SBH2/qXXzjkm9HSlYBifko8tmA9/fMXfBpnCDQgLKMqWSTNJh6hfr4jVuhFQ
IHW+lSOulfOmm1s0E1cyXOL539kS66cjcLkWUoZEPo5iRy/URp2qaDPPfpmsBEn3V5u0Pk1P8Ppk
3iV0Qxnicva1Nsu/fUjmECRahGugoNNbfv+QkHxED8RYfJvMaMRhNQ/KUN7GtoFDxh/G8+jkpx+S
ShFYR596HMH7GCCTN41VKGlXL6J0PfTyMtrgD6U9EKOQ6k/ipL2aoiU2q/MmQ7HJ3HoyLZbHXARt
66yqkoAIdhuXy+gGD1jAlutUaq2yApJmOB9G5brVn0A9Opz/Ej00YMvCLRgTRa3L+ZuujhUVIf1w
s/4GT7jnLpCVKPLvElsvSJBN5WMnG1cS0PWfBuv32actTDkrInII8OY4bMUGxhEYLBhfFw8+A8h1
vN8o3Adhm/bm2kKrXJQHlkkRPENph9S16fq+xwe3goUt77NqUXjxAIlfhq+Ib+YRdjS+PZ95cBfg
H308i1gXR+PEDQZoXLFM8PL9nYftJapFuL5vviL2D95wRe1tWK6FP/VMqmUmj5f7SIBruDScOGM1
idp12QxqH61gMnVU1+dvTMAq/+4Laqp6+4Nbo1bScpv8+1sARoue6OJNY+J/FklEQxZTs6Bgpkr6
urydukdIjhY26DTeCBwoHaINkaZc0J6nMrzBW3mYnpZZpxCrDuM/xsLOEfLsVvC//S7f2W6nXay7
VGW6BOLm1auvECiyKG7GYrlm+Ufe5xpexfLYL+BdaIK2eYRyooUY3mfQd21eb0cfl7jHZXACeS/7
zpe3IudvFNYHORFklcJq4Z3ZKSosaI06us24zp3WYKFzHoXdAuAC/6wEy7Parz2sLXObT+I0GfOR
zA9E5SMYN6XDzaCCis1s7qacECx6pPpnNPQjLm1kKuLj1B/01VAeav1LiBBZ94TbFELMMYiP7KJ0
oXrslSWm+iztjHk8HacR94X1FMY68qGtZ81noRQpm6UZD3rP7EL69f2hDSmO2OvGrduiwE3pxwN4
+ZDyqOjOR36+Mc3YYEA9s2b6iSnRQaysAjS6tx1YDP4APT9X+Vq0BZCWn9/RtR34JCfDRDRdM+UQ
l1856eIxBiO2Elx6aoEtnc5OwzMlb6OK5iZYIzg17cgHlBrS4rQu+xGLeSuN9BUdIyBrm1tIXVCs
5oC2LUafqLXEqwbnpvy7UzQ1kwa50ry6rQevCYJd7mjFl1WLbiVrStYRLXYEY+FwzmtnMvlCwBpW
HOwG3HxDuqrulCFSWE2SMWwmoDAlKnigXuO7sAR6nG+QiYVfehJTcYAkgZWLzt1ya3L43eyTLfIQ
eQQl/KJzYlkn28bo9XsPbEkU2PYL9Mhq24B+5E56OLP8xCm0c+RpJKTLtzQYfrAUIPJgsM6bH6Bz
QY/H9xjqPU/PX+LqqO/FjVLqqmucZFmCM9BNZoqz+D5VDyqU3F5Oh1rnbbFEJP1SoLXhfUZYlB/W
ERZj3FbuYi9RrjtZMYIjHkoM5xJCB+YoSAroHvJhomW8S0x8Goe1Tq3lfRvW/JfmaskCDnL4iJek
jpBetq7KWOdzPy86eKQwkJ/zzun1knYp9jUbjF4QTIS9R94IJKK1HHkfUGFgFGg7tmI+yMmke3kh
ARnxhV0vgNmtqSuNelY7WdYPm7aIFss7TGHpTagrmPdR6mWR3Fj0rHRkSkvU+Xa0wXeQSpLW2Q3F
nOCTxtwGU5VIs12uvXmemP6hoGrtbqOKskVNogCg+tL3PFngTMWRHRlOP86d7KqxIAiKFbm6fsOg
VJC43dmsZeTBMDdF6mYFkXZoxHoqaZKos4KTLfcIspZ307ko6Xoo/lvgIalo5nPS3AFxjN36shFN
hBwuntJ4bW4JxISbLV3ifIbu045NFCEC5IeTXEGbH9JD7OSjh1ceUmpu4X9b0OSEc0iwnXlm5IWL
hfNzn05pmpwXDYq6Abpo1FWZPFmuQ0owqLlrd8Uc63lp4vHGHIqdrCuSs0arTrW7zpZjj0CG5xAq
8RFllDZVwfuoVxMkvbG7BKmEfRrquGjeO9saMQz2gmbGvsxfoxGjoyC4HO3SbWZtPMidObSKT3KE
6fjd0Mc6LhUmPjk3kPp0RpiC9SE8te7kM35DahAdJKPIWrDsQTChJOYasKZ5+/hynoVwbt1DWIqF
G0fyd+TSrgWehqowxSf2+rkN2OUr0AOsvNAt9SY7DGPHdJzAhDQwG8N+Jj7MYWq4V3iq9hDCCFGe
e2g7hHfSLYoYaGos2G1wfZNCxfwNF2NOI4s76nMIUV8Pjmo6p4n2BdVeiN9JmivHOBnzZelps4VO
suliVcdYKI1xdwcVkoen3VcS7bXSFXcc5MpglLDuCVjYORJzTJ4wQykPpYS3aV1lSv8O7QKHibtk
k06c/Uab7ayFEbJpWWijMsZO0Ee9QqyjTEzWp5FkrFwXtFhgrVSK0sGljeZVDgilACUITNOa/S9w
xMv+zsQi9T6y7Qjd6L4Hg3jq162EFtjIsf2G0F5nQFqtDPci5k4xxKnbrPtC2RUgTxHgmf6C0fTS
I2SMc9GzWqxSXS2RgfqrMkrAp9C2VFuvQmipaD90LqRETJAUxjSXfYcMYbOC+VVZ51CsAQnF4SCt
dcc76gnyU9gtObuw7N1pDVtW6pR+6dUM+RgAlR2tQOvPwxNeGaN755cITiRrmNQFZgRRac8YmrZo
OVjalyFOhpMhZScr18FSqmXZRFm5mBh72ZgFnlFxi8eVPxQXaGtY7U5GAT5zHgnacp/kFOHY+Pwh
OBWU32iduoNtrWeLCDev/GQQ0QbEaZCvTYg4+Ep5ZXIIbGfYdI2J4XuM4Yu5t5SV2ru4nSyAddh2
LRnSG45nXLf0jdyHUXR4EO1N5Bbbbhs15jTdT8PkDBcGUEPjFuVksTwO0Puwqul9v39YApgmDZ0H
P+jbfTh5KEKsTIk8wAaxw7LYx9kAX3Fp3LAC41M0jp2ug34ReIlZVR7WLykyknLShoFzR7/Ec8Zx
PQYon4N2E95g7oe47jx0VAvTK/19jF6af4lyhlEUe+m3pLXpa4rM9hBZ6yYskKXdWN4wL/4WQK2D
LHRv8zD59c/s25zL2LduobA3wNNUk+kNta2cqvUe1Oy1rbtpY9XHSCOYyC0WuMUGHtlYbCoWTI+f
JPMf9h313j3EQKm3lYhAwuLuQp0+9mzgLAfcQnSEqzxTZ5jIdeFivcvnUiWoODuiVeHZ0iUGKSkq
9ZKth55Dzi4DwDWxlz34Xb4TlGGjsz/4gfrkEOSQMyjFoI9JT2rsqsz/jKMWTDU01CEKRnvcpqg1
tGPnESY9Icjsw4Lipr13bY8sWJnkbsY6mlVLLMvDTG8aaPnHij28gnqI+XntL84BcEJJSlTT1ySm
YDFl8qDkJeglrD2v6nVArEqbPVrRAyU1QSJpYIDaOtA7JxjfiTvtkzTg2iMSyM1yJ10PUPq6QXCJ
LzPx4WItCa/B3WQvolzHycINcK9DhsiKuKM6bgXWilEf6Xw1iiXRxh7G3v8Kjq9uoA3nQX2eNLlk
WxzaVudSdRvolCWNBj1GiDT6g/UdRUOErjaqtCQ+qeyH1A1ol8QTYxuZUMyrC2L4rFOkH+UeH/lO
dqmfOxgkJsaxaExdsfAjpe/ecmKDgQTQlUfNfs4qDh0lcnQkriH7CncwCiNl+vw9EkvHElqNrbOQ
kaIbxzc2NAsqd1NY9RwiOWFgs51pFWOmm1dNsfcZ/StqT2+vkQ3Tsh45/o3DfdjFSAbsHBB6vKMR
7KRF7wjRUJVeLxCyMIeRBTDl4pC2flKpE0h5vrxHe1Rnsdi16eJT348yS09as9ZJhTnQqVSQ0fEh
GyACdUyWinqdNa0zBbh32Lhwn0mc7Vhn8xIfrd47mG0iZHiNiY3dZOc+AC3uZ15wUqb75fQmjyoL
ksx7fFT0EsGDWhe84MLygVi6OlGzcJn6nHW06bCniceMtmZnB0A9N8nb7ppKmbBpjg3tIX/tOC1Z
oO/0Ot8cfD0f4zLPyaxNRiD/Hi9BzQ/8vf40WUm/XKsyDNgurZT7stdpGujUkCJ+opN5p9V3+7Y8
ioHu1305qoaX2gsCX3XuTI5MvshQJbSOIdiAy6OVwVwoka8nJ8h3bu/quVvWdlRfVMpKEG1OSuyN
x1O+ANuhTamamXc7GrLiWvXS8whmK+kN5wLfjXwTocwib0HDZf2z7OFOVCtYIO1AcJmV65y7yhoK
7M48m3kGS1kfAgG+cmIDqKtfCKbIpJccPHnPw+wt85mDENB8BvxhnoA/2k5XPMvUmhiU+C3zEYkp
yTVEE/Y8bTZFBYnBzxNxuNQRicGUJMjmbuukc/gp4czSb1FjMqZvjhy75do0cNxYIyWUchyRaZ8I
JPP91hnvwdc4o7E2lMX402PSh250y3QWhtCBPuQHUa8T+QSYrryPRZzw1gYMzEjXp9BYgNT30qO3
FEReQx+PJIQYsFgdR8aTDrCmEvr8wHTyPS5PaS9edKhsicn+oQ28iYZeHUxM/QPgEXqKcxGSR70t
vVqWOrUqjQq+ODpIUBu7zSCl0BOjVrp+BI571lMyMENVX5nuhHQxA7LoE7cXGQMDqaxAL3FOy0l7
4dOu1epuKk/2cVojmwq7fxEngLGt8hDSTBc9G5vhkh8A45aETuD8DV8TuUNPrMq7WmeiNja1xBn1
dmpEngMc90kHkJ8gRcI/+mtB5cout1Ei9Snw7WBRxou+6WaZFObGrLKZftUQLpx4XRnmTHQOSXT0
1yqta15pZo361kcUCJMK1/MxHoYt+u0uSh8txRE+uMzMKKhBOmANvEYD641CZFmNGH8mFjoDqVMX
z04z6RP6/BY5sF3RiW5lFXpWflw1+oeaEZAd+Lw0dAJUTI8KrDh0wOmJSvV1igd9zpTQTFJvY2BQ
UeLEOfY87x8ueVxVo0wVcjxFMRBySUji9L7cidFjHZoDzXvPV7p78zY1SgxS2Lo+frrfL6WxSjZs
ZRpGGsnz/lI2EnGLpDrxFbC0jk+N7zqojU0Ea2LXx9f6UQ38tUxpUToOUNSEyOqAAzjuuwjTQrQM
eMjXyalQnjsb08pmJnr4NbAMUwjh7IWL3xA0RiSYgH6MEv+xcg0ZgXM3VQjd2Yg48urY8xaZf/Y+
6j7RR4Q68AR7AlgDxU8f3/5vQ+VQFiaxtQBwWcCr9O9/qe1PGGfi6hp4z0NmTdwHG5Q+FrK5coT6
+FK/zTmHwjBOSj6dIHj5x/Vu0qjMrkmgnqMU1dn5EM8o9z1aS6CXiB8nCPX/4eGOWyhgnCw8n6CT
UzW1f4Nz9Z1wwoT6/TM65jpGDciHLddjRmS/TWykk+ZNHJHvk0zM/PyKA7vZXxHtKu8PdNnjYaZr
6iGwq7uqLDc0Z98Ps6qHSaoocb5Qk+DoiAgIVSpczPVx/t+Nso0WAU+Lkx9Xozh21CQtSAyx+Mut
LyMK7sUFFvb6aJ7lnNQOEgEk9tqPL3gkIRzY6PdSdqbJ69Hho3z0/tGGPFwIJnP/pa/pEwEVwM2G
MEdQnHmvcd+VqPGkGcIn0TooPMSO/tRH+W1wwRfbUD9h/qIP4Tn2+zvglJiWVhvUXxCjnJN6Sy9r
KfAvrtMIB9MfaYvEhI89DzlwHb9/FsUNtAU4XlT+AMrjRL0NTgUIjTGi9D+zihuEJDgtgHCt2RJE
odDQ24TOAPRilVnFQLQOlKc3S4kWqWzAMpjaqMUhOpGLDMFI8cgCgaJ+OPnV+TYkmbeHk4zWcoiH
amHo3EoAoyFYGFrnjzIyzEHeGTgKcptAOHqLb5Fy5baCtwK9ILUnasKv1klTHg4/Mj7b0slynGMH
RNUGfgzjHyZ5T2XSlhPMmrO0LijLfvz+j5c1cQ9YFJjxMILh9dvUHjlZpAbqXk9N2jnkrEk76CNQ
tAw6A/hZsv74knq1/BpydajF+pIeDfIXCAsfzXEaZfPQiVA9RQlwVmc7ZthCXyAeYhfGpSlM7kCT
z0YOURPcFF4ERF99Nx/fxvGTA6+Hno30DDhO1tyP9vcvsbP2u1rxLtOnAlPE6jSr+qF6sAtl9+e2
GP4gJH08yQGlgt6kUuSjZ4KgwdEk93ElyNJWiC+yQyzqEXMWPS2glOrM6uPnso+WNN+ONDaC1QhB
sC845lF2kKjJLMta2g810lHhRvt34smJbkPGSTfLFbvDioZ3xR8BBRvm5eShx8VhzUPIrKWsSwmG
I4/u37cKhyzqCIurE/Us4YSCMRqrAr5yqstak6HLAOGAsFp6IkNfl4lBY/FpicoBD2cUHntRkkAW
JqxIhHI5VVkg2boTwyCOljuIkIl78fEgHI03Y4C1jWOyTl0sBH7rmHowwaPKR+torHK9M8cNrQow
V6rh5PzxpZyj+azfKcHLB3Dhsy3+xrlXTUtN1XLj+9Btflxr9CidFthP6K2JUE8Ieuu9l4B0GIV6
qnWV9OdPvRx1hcBQJoPruYGuZ3IWbIl0doWKrToxinw0lnPBUvXpYLVVofbogHJg2hZ1zPE4Q6OR
Y8nPxh/dIt1EMtDyZO0sobnwO9lU+oUvXs5VjB/d8eCtNAE1S9d4DS/VbzK3yFrUKoDPzHuH8aIL
yz9baKxI5m5Oz4N9L46pckC1tipFCeTjIQ3fv74gwJopACwOYMljL/xNDrvjCUDBtvG3UjrB57yH
67yzaY8e/CJsXWr8Ka7b7hSdzXiJxpvWxSywsovyUaIEi+VYONY0TTGFjoAkYlSXDt1DzPlVwPcU
Ml2noQRnGeU3Fa22b5q8CQW+RxRxTS/Hv5Je3JyleIpfsCOli5Y9lcXGELnzaaGPLE/jXuUeopKR
6SI37BWPxmJgsDvgJqfWIuqvXXYlxG0RYbwI5l5uhnbutvTEy8eUHj7SZzZdgrwdKOc1haKFN1jl
F1AT3hliB1oRb+lMC6ZbH9zb7M/PbdpY3iru/ZQSRiLE3s7r+l4FzviYOQ7+76FpuPXGoG73VIzQ
+kuj7e98Fz9OalPjAdvpfEebYG4Bp9JcXoNGhGw5upU8hbK3HVQE8TdM8/zTiM4MVfMYizekAJv7
JQd6SvppQDgFvr/GyufGHWbzqz0P4gusXgxsRm9cp5NfnRWByLZQZrI/qUS82zOYELSVCWYeqYKW
gzqG0zSUfwIg7PUL7wvZTBsZgK1fNgOGOb3pP/xh+v3DxQKAcnqbJ4c7zkjixSW166P6BZWjCozQ
ZN6D7bTFqqqKC+niib6ekqbCs9cBN/nxtX+b+T8eE6wOLRuC+PF5ZPRE1ICSr166uubgiloIjP/K
sQC+fXyhH9/0P9vwjyF1bRvgAcYjWnzlaJuY7KqwJViZFzzhWTOOzXaxajjwZIDcy+C2tqtYK4YY
ANlLL2rRqmmzco9hj4+O0QDsC7Cef9X7fXRaG13wwH4LNZ264oBzEsmLPdQVGqmD5d4gslN/r0bk
3+FkBTfSnu1PUc45Fc9kC1pRUiRXDqoZsK+Cyqd6U9CLs5CaOJh9NL/kTTLQShj7nZV45rMJC3W9
8P7+kAsdgfAYEp0GkAYxLqjz2McpgWUEYnIB1b+4ox78NHPSvdPk5WFapufaisonx4imzWgnND06
tIkOYHxhPXz8Zjw98u/eTKDBmhoPAvGebfwoQbKKuKJ9kAYvyUjjgHJaj+txCI9ng8HaMmykW02H
oBqmcZUZbUW3p6kODXWrC9n6clhBbDCuFitxD84yUzjrgQ9XGfX0dV8YF9lcB+ezM+9rp3LuqYGW
V43BS1v5NMbm9TJMtF3yRsTroI2CW9JG2eyUm32f/Ty7dAK0ERE58A5Z0rRXlTeU2phNjF/nMh0f
EMEpbowa8sLKnyy1c+wBbLUDpfpeYRaLWEqH0LFMJytaySGhBRDkXU4jhD3xzvWM8DxLZ/eTRVU7
hmFXeNMfpr0eu+OxdakuBGxS4GSP1Z5GSsK89yBGu9b1Lg308h/bzJlBane1eWkpjRj/+HVa74Gv
zKpAgzE54sDCAoJ3bCSEZG3ZV2ydr8hEuKeUzSAjxeNsnFGozHc0IgYiPcL7Ly3KWo9ZMg3nWRaZ
N4aMnN3H9/JDS+f945NqEj5tXPRA4h6DAXtVeSJMMGpOJhoMnNub+EvTL6ncdNWMML1pF1Q4qgb5
TnQ503mTp753SIHDbqiTRBEi3AZmNn0DAyAbSqlLv5TQa0OkF4WfiUPnONOlP6bIHGDs5a7QdrDV
SiAl8sNyrBqxxgybNVhzr90bDMsuLwbjAt6T9iRTgXH+QyBnRnGj3uRIq+4Sxe69biwoJBVtXjJK
B1E3TC7LGkiJyunh0vR89CRHU3IRcTfYU32SVqXTIyMLXIaZSLtojdGyuHairKblCqJuoqNJX2nw
yzJZI4HZXqg2wp+wyVofXG1oN9aJVhLp9yZ6mp+Gvsk+w7kZvrsZyl3Q4XMw/B+/nd/jDzMlAjQH
dM3n/RyHZMemE1pMqnjFqclEj0FF+VdQHjNdQ14ZZ6rgZRFjDN3G+DrLXCG/68v2T9S2f5qwqBCS
NjsgVyEVHpU7QEoJzEKD8jWGATZufrwQfxnT8jwr/QGFJhndd3097hBQibdtFE9Padhj6priUnr/
hzH5hwUburq2TOjQJoE2C/qXY9pSjUri8Jy/JoHp33W+JW7xxzA2AYXdM/bF8XIsu+G0RffupJwc
62KoAzayoBym6wzfCwDJtZLnmTE630HOd94qRLb67g93+f4MoNc4xDwHap4NZppD5dGQ4SEyV1Hn
jq9UvbvkgczCE2sqifNqRH780vZlQU9JLH64CXuv+Z4iCYsaCtaoau8EjXj0ojI5NwNVPNi9O9Ih
YRfY4fxXMtxJHqzdjnbv23z7D8/ifm4hzT6/VBnuJ2+0/F+p+IiM6Rf0vxMtPr2K4f88Zn2S1e9J
/D//5d8s/uAvGoU+68SCKQ+Qmy99I1wYoY2TvQ0lF8d41jGamP/NuHDNvziZ6igMURUMmS6l/826
hfsPgR9SLkdWSO/wNP4Fi5+64bvNjmI9NVtqDlTWLNKJ36qJyQykqc5R8EGucjxrwhqFdlTDxJkD
42yDi7HWpRmhCgrk/+aK3djMpmxTmpY6IJmCokscj8GuH6L+DosUcBxOiRo+nuL7NDIQAgcgg07O
5HW70a8GbKOL1DvBJS7od2M+xljYGq6CNxZ6pbdyCzJHGc1YtrckMKCvTvFkHCWCIgmUjCpMHqwa
ZZaVJGNZU4D7HCkqzAKYApJEYn7gHItyGUixXSYN4GR0V2/QaLJOaW6zbU+w1LfolJdyvRhxd+th
133OP7FaYG+B3LeNcZPFbQ7VcMrVAfBfc7EoEqRJOOanpe/lWY6gyX3czs5u7kV6jcm0360Au2kE
S10IpI/8DBG8HBt3sBCghNVc3SWp5+1sZ2rXueDXgdlZZ8huPzSY+GpTZ3kRujN8y3JYG0Cz6FM1
7F+A1Ye7AuGo67ixnJvYdUy2JB9rj11Db4sKGL2/Da7d0QrqDObzrUQWhwbPhnvGy1cM7tptcL5F
6iXAhtv5NBZFe8BtCZOT2d5Twb1KwoUOrD2bbrkJKB+vXU+5q7pMFvd8MBBrRyTM103uZUBCbzhg
cz48uAKps1WbLdbWkOBn3HymCduL2uN9eOP5EtqHITefMiTkNiPPsi3i4TGmeX4aqf5hLmYXWIVZ
f+GMPJ9aaRusKgBe2GbP28QavE2ZJ8mtcGsH/294AhdhXnWXZZ1WDHUJrGnVAl+6SkbhXxeOEW+M
NJBPcR/bN7Qn8y3ojel8XtpXpKKQ5kLSzd/GXZbohr84neDOINbnrOkuTeelX2DTYvkxfttGfGM5
w+cEJ1DaO0FxkvrQqM/UALX2ZqKd0D33SSK+AG8Zv2e0GW98oDBnOS3fuwI0MxWSejwHg9D560FW
DJlqq/5itM0viIiPl0Zro42lzFd2oi+BUmARK6/uTtAXRaQpc8wrqAmW2AAZCZ9CHI/ukWdq1rmM
y63fxeWI4/g4VgfTHb0cZ/emLkn9lfqS4oNubqwZocCtMDoBDTbvrRV29PbWQ3p1i6uGNG9ko8nA
Zmqet1rjC7bQHN/I1r5WnvW0iOjJ7Em+aCtue9AJLRD4DBMaN0i7fi8FM8ZMbP+TF4f3Sdy+mrge
zJrUgHE1+QpC+cjFX6WlixdPFAJtTX37kBBzbvmGZBU4Ir0UXXYGO02dAKpCLYO+XYp+WyKUfYG2
1pLsw3jqk/XYt08VB5fxth9mrNJNscuNMb6W9DzgcBcIs0Hd2giJV/toRnts49OTolhkd2Mvdlgd
xtiqIpS65vwMgb682GYCMRygkY13ITwn3gZOk5IBxv+fvTPbjdzYsvYT0QjO5GUnyZyVUmooqeqG
kFQlTsF55tP/H2VXd9k/+rh9b+DAOIYlpcQhIvbea31LDeqqwz5sc15QK8t5prDmlNstp0LYyh6p
WLzLHKjloaUhVg2h9rtiHreFkZLoM8nshc4o1s+0Hk9OYhNW1OWbNdkRhntr0MFvUvNK1lYWVFY2
bCxCcT1nyAxq1bw+ppnOiKDvq91AYewNah7djIM5cgVQJhLqJsyD2TnNzSQ65csY+XEvT73IIj+X
bUUGUlTC/+e0u02rkzVPL1o4WT4iIe2A/H4JTL7qJE1R3qhSr0nRM5Sp2dQ45Uj86nHnHDJrcFip
mvqqu43+6JgOYfcWwPWYs/3oMdaed6ESluTxyiz7ukB03xiTPZ6w8aUATYZvMnPQ/A19PG2oP5vt
SkSGwjRcIA7OH4TDDPxXhN6xGaGEs5Oq300hPK7Qqn3LRu2wia1C9UtN9Icwn9E8lWHDMbL/xsZC
AD0lxL5Y6pG3NCwVZnzVOKIqoVp9h1ysy4ATc3vG9uduh0h9iKjg99RP4pQIu/Kawkl30qaeihfy
fypCJJj3OqgdcGej9R32yM7FQcy26oVuFh+s0cBsRn10srpRgOBrMCxXQjv3MPBOU2En5A/Je+SU
dAIhruzWmsCh75Z89CgOSmiSjrHJK9beEQagTwupJsVGzenlR1nti0m/a9TSU8pJQx7GK3oTVxGU
e4HEOJNAhQn0cH1TS9QjQ5BwO/b1acrzOhDL1H5HAYa0EnoTqWeyOmNGxqndG/GhWdw3ByEXRVVD
CFTUB302vpFPDSIMFGfQ92w3agOqr2kj/Dxyld3Ce1PD+64t9Iuea6g++8G8Usjn20ZpL9Gc3vei
Va5jnN7hhHeO4WRqvI3yEtn5sp2szGVrTGi4QAdtra25tA3aJxfgjjn0nYcMdH4yMmKG0NqMxn3d
J5F1JC+JHKG5FVEZaOyczYZ0Zh0FhtBXZJ2B/kcEFvFtIohDCuAHUEKu8sKwa8IuQedv8ROT5hER
H4W94L1WpTQCu1PVeV+ZyYNpN2tTe0AbzUBPGqS0keLjlaaqb7CjpCXAvib/MZfqZG4EbdRbjfFO
7FdpszzrVT8954g5j3aXqqe+LtpdPSvjpxtmIul+Js9FWNnI0i8LrsEQd/s5F0ug0j3frwLC1zl1
kO6WfXocMH7hNtDs/N5Z+uSIcrb1GRUE+CrH7aw50fda65Vd243mXYs/AIVgjVit6VKADwXLK4ow
LlA20+KLRRR9MeawQtuYo+GpspZDB1TcfdIsxuCLxewRafbquGF3o0NfGpV+arBrxEGnNZXaIjju
XYhCaAARPLK3bZwZyi+QxJ40MsCxxxm9X8RAoB36g4jn/iTjTDkoaGQ4+IWiZ+yoG+6taipW50HT
q5NtZqKnLh2XFMVY7y2AA7X42oIrVP0pFenViZv6nkyssd24FGSU6a65a/GbbRs6W/sFGsewwRgx
iA3qbhsoZjN3zxJWvR+2rnpG+JpDFuLmvyx6Ymyt1tzpXdjXm2TpesLuCgB0NZFElOj6sEdKPQ4b
RDdRoE9KfjHoSa2YJLuWXs688WAkhngOQxpNUYU92IvoORL6MRvFwOPSCbRUXffC4r0EOhfpVLrq
m2FDyZ0xaeUb7mhYbySkUgI0mgxBRden86bpTc3rOovwRcOK89uC8aXqATLtg86MbypE1Vt3zLvz
2NvmwYLlCBETjMa1xULDLBui7M4orCZwuWlHB3Hx4MvCmL9PoRN/czlzP2mzZZ9CA8sSHZXBPrcQ
Ui0/jGAV3+TC1D1ttl+6XG+f5xACrhWZxlYqYF81CJeHBrRE47WY+76uqkBmEA4pQAkOT/YSzb2B
AzP/0JQw8ro6UV9ZT5NjMioqySiG9YKSu4XJ2MDG3CqgARy/E/AToy5vIKF2+n2vlpAlLfoNJbGU
AZmB7s6d8j4AoDAQFTOMl5mB9X0Ll3QttycvNaFWlFkVv85MmeqNVpbGVk1K0rMrtWoCHA6dl5fQ
/XTmSIECiXWrDfQ3EH1NZzjjywW5efWAacE2Pdbz9KPs1PYR7bZ8iVRYLtApUvcIBzM8JrYUR6ZF
xDfzvJ4Eks2rvnQjmBV4qBp5WIGCImCj2kYV0P1UOfsLC5Rr2APnxOrE0pwX29GqzF0qleIwCc7i
FQKrRxigOuGHTdChnL5NIjCSaZoPlxSF1IlFYvB5AXlZ7EHjwMLKp69J97FSV0GWp1YwG2peevBg
azgULe86HrMTDUcIn7kg78Ht5HucWeayt1EQBUndWx9DV47frXyKCZCT7nQzaNqkb8fGKH/vBv5b
//9N/U9wAZXy/17+/1dDMHfxZ9DC57f8BC0IMugNXjqmlAwLjBX+9EfdT539G6ObNVwXmZxL4f/f
db9OpMn6XfhNEFv83hL4WfdDWtBIruDHraZZWHf/oOxnSPXnsl9QTvN7EYWBNoxf768zpLy223bK
rJEIngo/DuP5EQ04BwDTKsWprAZHyzmighnvd5mW8yQ+d7QSVKbJVd4+arnRLc1mleZpgaQHVY0p
iBIyK52HBD8KCB9OsAXCSa+i8im2hj5C4AVnM4OUHUfkkcxrtXw4ND3CjaHdsJQX8JYLOafUfEPC
SNYlBPdshul0pKE8iEOaWPPNDHn4EUtpxUDJelHactiN5WBHniCnzjXT6pyu+vecaaa6MVliHmMr
AVqSANRdd8sV7k4j0g1GxAYjMJUFOJYlyYddMvjmotLo2TL/HG4SEaPg1eJ1OsEAHr63Swyf3BXT
IHd4GaTjm26ZHKw8qu2LiwSYjXQWgIcUBaSyVc3drmuyAezfqn+OcyPbV0yFt+nScGwBp88PpowA
YJ0P4XCrmWHxFeMXfgsLC82OyWXnx21LIyCqZg2CUTQv7FCA3lOzHl66xpi/hEuJxLqJ6mo6IPmc
kDE0Jn+owV6tvSD2rs/UdnLXamwthpoNAdzeWkXW35xHPOOcJQx7DATjeuKhspGtCT/XFzcl6JK5
DLRThGV1tyW6T5Cjy6PuK0j7xLW2skADNZOzF8uQnr85IZFKO+CF7DEKHLF8sGkbGE1JbK3BJNwa
8n1dhiScREPvbLVxHNk70xUeqQ1YcbWOYGNibSvTWwWXH3aYiNfFVIHVmLyN2xViFQi2xNecoA5t
6za5uevLqXogjCc+4YmRL9h6SaMW6BU8wI7dXg5xJHytsW/zfCZfSqMZ3eBirL0KRRkPjTqpQ8CM
qd7OQzQFqN3dW3pVFfSoBmtNbURH2P2TvSn1PMOxpJvVxqQI+y5SpTx0YaodOtJzfdRT4TfehgZl
AX6MN3zrAIHnthuyXdTV2iPhA/1hZP/capKR6sYtwvbBMYZ3gTvQH2YOtSEuqpzWy5wcmDXoJPtF
mFy9yHI4BFlIAuic0RawdI1ifEVUmvTSVd8cNFpFcIh0vw3rRxMT3aVG0fEmu5ymRh3NX2gL5Ptw
AYDkKYpwad0oC0Y/gjxu53IqLkTbpiDQypSaFhNs6JlttloAwvLJimq6GIpbHAo3iZ47AF8TWp5Q
3mdGpXk4+6hdCQHoSofn0A5pZJhGJq4YdaBcYodyt2VhMN9xTEw9p6qiWOzNrrpt1oKttYT8UajZ
TIXUlsQRk5Y6EPq3KcLunWx5wyc6cPTIL8bmypEQuZ72imr72ZQNez4o6Qk7gGY3mV8zH4sk0PA6
rnrrbmw5yvCxNBT7ufm3K/47hfZvd0WTyeV/2hUzHLKv7a+ddE7zfM9PCKX7GyBEC0Gda3DWZov7
723RNX6zVNgjloaAFp6Mi+zhJ4TS+g3n15pA5a6IIYJA/qcdrv/GBsZXA7wFUolX/Z/si0BP/rwv
IvPjf8iJ6IajOTP/OvzETqnxWJMuakrH8SDT4HosumG3hPF0lFFt7sGiYaMpibmnFm/ts5kZNVuK
qo73ZdkLhjmV8goIXdxk8Bzw74T6o8WLxYG8sgo/ag37EsuhvZ/TIXnERiZ3NLiTQ47S8VtJoi+0
ITs94nkOurmt3xCOpnvgQsQaIMyje9P21fIuKtI0kjCyEOBOmfaA9jU7uoUsTqGty12vtxt8E8VN
SR+Bzk2Y+0qax0d1aMdDkeQg53PSB31NiexjXve0kkI53ZaVI3eVdNwzZ/WB4GJr0q4Yi9wLBnBx
o86JuEEWQIjIUOr1lvmk3OH3il5UN3EvqpLdqZPV3xAd9LiIGU2ghUeTRFRXAZVY6R8M0WGs5zM4
RRW6iNcgqLxzsWVuyNrFFWuYE/HXrJQ7E5Ls95E9mlpYB4iQEJhM3k/2VBsp/fZJGumOCUG6d9uu
80djzH1hzyoaKa1/Lp0kvO36eLx2ZbK84zObX4qm169RBspEn9PmYunpdEV+SoiipiXbOoTKLiar
fsv1fvKBAtjbapDDzlYz/oxomhhNFHIPxJx4ezKRvyuuvqarwihwq5NWRAdj9Yn1CT7aTJSF35rh
DYFF+UFxlIPM7Mwn7BM0IryKXV0P5kfk0oho0y45dZYx7izhhgdCGvI79PILu5uSZkcE1qES6Mir
ThXm8S/RnLhf7drKA85C1TGsrPGhGsb60Q2N5GZBdnUztoJyum/05DnsjPac9kI+GHQCdjmaB3cz
4nDdm5O0QTJJXb8us53cRJEB5d+2pdwATETXQ94MG1lXO8zO9OFsYYe5c4nCPaKysUIvXQz53k9T
dQktS+7nqdfploFbzCsr+do7dvJSV0SQFoTUX3N8z/sJVPRFKIN+0kaz3Dd9Gd12Rtk+potODH3e
ykOu9IeqCOnzuYXpXLS60r4WCNJv6sjIDglyx31KgHhOhkgrt6MRm7eyGk9azLyCTJNmr4guQFXQ
vWIFgIk+0xhiJBLar7U+/jBrUlYj4hOYNCD+LxktbdHpOf5sF9oX3cje51GvIk+JDO2r7RSP5aBj
rG+rebeIQlxJxrPodRF7fTQV/BwcBh1xiQc0ad6oWPVrGzbpnU2HD68zwOr3hLp9Vwx8U7Qk8slJ
RA5uDOwGbauckQE3cdR1jo+9tHw8wvkDDfLujXH70BD2oj4ysTqwg1nHcqx3WGsw6Fk23P5EptmV
caO8N0O5t+axO1rhUhyMLC/9tqJF07NYfu1KNznYZh5uZ2D2PgPvaRMWU3pftQDWlqkuPT1DVrPE
M4khlZm94LWenmzUV9eK/A6PG4owookzzWekXt0pzbQdSUM61Q0mKc91t2aX5ruwHcUNviC5q+V1
CMPhRVnV4Zmlq9dURDopto4gG2Rkxl2IoXnXOzongD/9UUz2rlTHKRik2iscvnTnpbMhH2wqschk
M9pziQFwjm6Xtsx2ykRS4GaeTdtrhsmivY9WdxOFMyDuBVkGATRk4bju8AQlH4awJF2WA35Us8yh
itq4VSNOnH4ZHhShCFRVeUm1DD1zFHEaSqQLx9ECJ+HCR/KkkjwD2RQHKVoRcK6kQZFm5Zu0Yvzh
ZexezdyxDm1rwgVfMKFdk07JfNtmckT982oRHr5LKfXuRMvcc3VNi8tAQIPnhPmCrdmRVoDd0f3i
smtcFiOOnwHJJud8Gb4hrbf27IiLN6ftcGkjg7ACdCznNrUKr5sV95z3RnPXpWF9kzKN+qKEibxQ
G1QBWRfRVnVLunhaXAVmW+vPyEe1vUX2RdCETrlltqn9WOyoJ5PerV4NvV43l34xXpDEJE9Y5Qe5
ASoK1ih1o10PJQRDfjR6ihrGdyrzQyKeONIPUT09iJ5LX8Tm4s9zx/Rp0pyTA6g4RQFYxrdwzEYe
NA7kroJzhTvbY9iO9H5XJFO3giKqJ0l6dqJWaYCnf7nLBt0IqgEEyGamyZR6vVIYGzOatlZdDhd1
iLSji9jz21hrmT9qwNMH8HM3Ca/4qUUusWfgDaYgqxv3a2Yxbs2LUbxIxoN7VibAX53mz5pl3i19
qrxXhi2OVecoW2Aq7S38PHlgTBJuAem2VzmPzhPGpXCrilo8xEMi+Dg7pEs/K9ZWp2C4NHP9VrTL
/C6WnuUfyeIChmQyot2kj6q/oPjaaK1yIpOWlhYcpYRuFw5dYAUr1kgkrGiJuK7VA3t/mkaPvclB
hGTsWq5NQre71lEt9yWxx8lmqtZeJI12Wm126NQfLo3gwyBjjbnMqJwTjcQzp8jvCHDK9p3ZfzUb
E4px2QKkd+ACv2Wd9RXwz6sI+w+oBl+dcrov1IXaYBnR/up1fmgKew6ASzxqdVQdq9i2H4cq0wiz
Hot3CNTTMw7Sr85QWAqPegK+KztWmC9Ff6xqWpfdjoq6XqwbjlpFZG0I9iLjKYGQYwSrDeA8aabt
9+PUO3d1V88gp6xwnZ/oDjXbyI2DaqpBCRkWYjtKsetnTj27PK7KmwR4Ufm1YgHl7LUiZaYw29bg
Y/Kjo6zZbMCcfA552UmN5uLYN4n91ZzN+huSvii9C1GunmymW80js6k43Eka3zQIpnZc0DpEnZl+
d+KpVZ5MnOMmsOghpKmpJFmJlTbR/UIR8w4XcLEdrPYZCO6ISzeSvqD2h8hrPE+KNu6ZnNrenHck
VZXFtHWlzXGSBnvSGGdo+2CjhcLsPyN364tiAyTnLPJULLEMmJraR3YQ5YGAp+gM4Vj1gIzNF2rZ
+tJwN480LjddnIyvzFrmY+NaCp5mpd+pxcS0u1+PW8R59RvX1JtTkhzQCeEJnv2hDDtwLMDdIGTC
EQDrDq/IuOYLsVRprUSHxQC7QQxzeGxyLTl2IjpbjFc8YavVGfxy58+RXX/rdQtuwWTOu6Qeki18
ITdQItIeGnLBgjE0KoQKMZ3eDiqBB1TM2fe0VlC/a+TFMUj4MHoQO14FmI8Gr4uh7Tt5YYxfW9Ej
znrvDZuYy6ewNlZdL3apJJf/FnH/pyKO0dJ/VDZBhCl+vHfJe9/9Wsf9/m0/ZU3qb2uDEi4dGkD6
kms6yB/tTVtH8WSS0EkL01DRL9F6/KOOI5ZZoDjS6Pr8LNZ+yppQPFHCkc6rm9ReVIb/LEzgM0f4
f0SsfAjWSDIrNDD4TGXEX2XaJrMSl4Vm2JdFpEKCS3ivsOmj6uheZit7c5Cbb6py6YKin1wPeHG7
maY5OzpqVnmicx6dwSHcXQKYmXp5HhyDwZRicSxtdGIuFBbflObM3Bu0Qzh/0OHMhc9qqcMFrN1t
5SoUXlaPJdLVrhV4L59+IlgQw8kCtbanTaTymbw0g0fgBp/J/uIDi3wZpMsGkJSbuiqxzZrpm6VU
wpc5X56prIe0O5tDNTQvqhNX+BgHfZMyuwjy0P6CReg+1dW3oeHjMfu/yDL54BUCc16SiISX9qrG
9Fa1gr/HqqYuEE39YoEwBPhkF3R6+POKiOnqlBfCHxT70DTOISpwvIctl2Zww4CpDzahNPvAjTdt
LItLCReh9UXND5UDl8AAws6fwGUQziFP2tYPG76K6Q0ih8rgrBfileghYexTg4yAUrKAWrXFf82M
6+j0XbB+Z2oAzU7cHpS5th6kZy5BJfUuMDt1uUalvLqzHAJEDtwTnNSIEmp+/VEnm6XmF9LRXDAW
jZ6y1uXMCRfOZzX+mIu6RIXcaB56Do4Q2UwHDXHleygVlevgPuIW6wK9kGCbAAXSuwXcZXSOA+eG
3JiGgNvH0Akz0hCohrBtLtuK2Lr96HD19JYPHU37gBru8fMhIdKJOsOoW7+yeQ7UWb/mAwKZRriP
I5Wwp2X8gxHedSCfy4vSzDhQKbhbFdqGX0Y5w2i302jYrU9Rx9cyJrgkrUrXqySHBt1Wik7bmrhM
PFh01CFVmuaF5/kDUgWnDyYLGzkmbyBSufcL/0Zg18S5SSn8sXNAXwIpQVPBVWpViiLNrpYbUbeu
B4jh5fN+5xFJjAPHYq8b+XsBaLkrloJbX3Ow6C1HHoUaffCS81SzluMU4ul0bB6Vcn0X6CPOTzLm
X+GQvOkqvwhvHoepCu5dz+WiEf1IknAXjDXviW2P4XFEA34TU5JA6GxfbBjCkPS4w8gU0o3D2/h5
MQhiHKjB+NIqy99ysiyCUNj1EYqnGRA7Cm0ka8PjTDF5n7dp5aGoTTcjQSCeDghnCzpMC5oMAVXe
GFxSMfA7RHF7clpl2tFiAXZVhwlk9UULMpuXklLxnIyM6GlJ8JRBVMcsVWQ3jsaLqgsWAiKiJcfZ
SAaIjz6QjyXXITYvn6+XjrRnL9ReCyYUfH5P236DWABZAsATYkjd7BjFothNnGFWxBCvYYYe/vPe
IodfaRvF2SIHmSWER6BAy+XpI9fm8ylf7Ixw3Kpxd5QNWTBD9tnS3Zc+eK/K+3wA1iecV/yaGEux
02eWMXfg/TYWd9l/3uauZ6TeNTxG9Ja6YEjV8BWCrrI3Y/5U4BYcE3tV2YeuzuplJm8c3LgFavZB
/YujDiJ8QBJd4uV653paoYZHlGXF2U7EdDEnc+eM6RvQM4LL7LE4h5mWEWfIGwFUDc2VyXta0vk/
z8iDtrbFQ1bkenFWWpdPB3XH2pvTiGRxUBcK4skg5062nKgmfpg6Dp7R6pZnIyjxIe+0m1prm8No
4Zq0i4G41CQXBIMQhahAEycxTWVxG7l1n1iosNeuMcYQ+CnFvKs6FhPm5YNHsAje64FfAWIpbxHY
rX2OB2Cf2+TJfq5NmjtpwedLOyTWQC9BeeRnx3dmwyPRmMZVm9e0lVBxNib1OdvOyMNUTxWN8IT7
V0rh434pzpNlTJfezj4os7g0ZI0iTuISW66Z+VnOj+xV7iuCgSwgwrb1FcdkCVwLLIzj4Z3Gcd6H
SCHR09UfJPVu7LxPAW8yvogS1hNDkclWbZp3TIFmUMBj9sra/pKXRhlkSnynjP3FXr1zOgknxzmZ
yDRQJMl2JEygzsEDTSpCMSnA/Re5fMtMmSNu40RgBaiA0aXA1UvftLScUNWlLgklQns0o0z6uLqr
9GaO2h55geAW6iKMwg0yBpRKqWAAEJdJdxdHBsQIkKySVhx0IYZrM+KMgOFA0waUyxXqirpWiNjt
X5WuLL+TtfNuJKLsN5E+ZR9OrSsLc01lWYjkc6dx3xVNuXXzDBofqOGaZNy04Z1PjUHxI7YiX1Od
8AaW1qJspQ4z55JpmAMYfBhtvoeS1ikvQCoHLyY6R57D2NVR4ZAAann1nNXJxRyAAAcRCQvKfdFz
fIAU+Ddeh9Uk8JdzDa4kh9QzrAy0cdb+9S9WB+kq2mKUDTmCyUwVssQfScbmohfOI1xKpEbEEHpG
8rcQlD9bLD7PU6RD0KmhnF4hF39xArqzocEsq/q9On4udryDepJ9L0YcByDdP36ZGtz9/vf8muz2
/4nSbQzC2CWYBagus+q/fBopxIrB0Lbfy5kHZD0JuBmN0IjGm//5Sf/qG/5mkqNhHUCS8L+Pcm4z
+Yos9U8Khz++6Y8agIEN8X8cr3FDYgP6HNj8lDgIxjKCZ5ScQaHhDvpllrNKHCy2GYvu+p/mOLhj
mPtwy7X1+/7ZHGcdMf36nuAKp8Ig3oBwAk0FqrC+R7+8Jw07ZjFZan00OmXCmiy3XTx0W51UbUaT
RUyKtBtxiEfeu5gBSfC9QtYDpb/kiEwbYFKaao1hyd0k3BGRq9MtQFh/ciI3Se/Itmq+DZ+NhYWY
q1iN5Klb2w7u2oCoRZLkR21tSyCQxNiNs/WcfnYtirWBgQZo7WXM6i4iVwZA8drpyD+7HsNnB8QR
yKWbz7bI8Nkimdduib32TdLPFopuDUXhwc11ktehU+KXHtQ8/s6mzKJt1fbEDnamiEE6gMUQhodi
mHzjTT4mjj5eZGxYjr11arlUsG1b/lz6HY2Nw3LmxE3KsaU3U4CTDqjzsWBMBnGv1nBFmoTV2Hl4
cbQlJJ84lFxPZHgzBqzaC01XjKj9AewBhA5V8T6OkqZKkMWJiZI2K1oTzUgByjDzwJkvCijOHok/
XnzoGt7UuQaewthZaoOpdloZi4c6OWLvQxWgxZihYEaWS/qdjIC5NTMIaBF51ADvEgN4M9FFOy2b
wuaC71U5iLFo7kTqAEt2FX0zDga6szbG9gePaheZlfaAVhPdo94KlAtqMV5BoZpby63mV7tCMj7K
XrLpzLGf0DzbDk6enSmr9F3ZGvmhLDukMcXAeBy8okXdI/uDM0yeDSxsm+cFjngrjm5NjcgvToOT
T0Mx842OjTq1opIEOje8NjmZTmSFdNUmC0lZXJShupWp9QRiNLrqUd3ejainr3i8h69x7kx+5HKa
aqp4uvI8lMgWyuSLbKfwTmrl/MwRWQFH1ve0zWwt9Ec1WbUpWfglriadMYyl3CpTOHUboM0Ipu1G
PxNSRFBWqiSLT3ZcNn+paof481BaTzT+i4d2naRs8jCOJs+EFQ3lMG/sySvnZTkUDfYnUp8IkuxR
8BzGaWl20LKiL4Rg6yd3sRGWqMgfH0FUtag1qyZM4ZM28kMdDVSlur1QiUQ0JQKgiQu0CM28Q+9B
4TmapFTafpv2BiWlPtlnlSynaAN9EakSAo3hto8i7UQQU7knaKPfdOnMve7JXbjG0iq+cHAg3T20
q7dRi59VJhdex2D3yJ2mS1rRCJuRhN8ss5yuISbGY2FMDWc2fXnp9SXPkWxO2ntaMjhQloKZWV3r
9nGUE2evtPoxuHW4V03EgzFQZ+6gnT64mdO/gOKWzzOc52d97BKTs6OTPddKAVaTBOW9pXR4RumD
BK49dlvspKexTBG1g6rYgfOZbwtmYMdxal1I73OWVhu+V7lVU2yli7mA/mXIntyBqZ6Ok1JNjVdG
1HmDyjENkciEM6BTqCWUeg5KaC5kzo0UaWSnU1hJNK+K8CqzHY+lcEnkm03ti2Er+i2On6dkaR5S
LPjfJ7NEoSlcyOQbc2QqT+G0pI92kxqnXMzkUXdYPUANhr6dRAdOSfbNPDY1r0bfPkBUkr7ZiPLd
6umZV3RX7/TQXd7qsWzAvCgS/WxOLHaURsZTFBsm5zlC1ZkP1wCciBu/McAEf+2Qx0AtJrA8y4VH
/As+3XRqjmhaotcWtv8POWo9gKX6jB9lXDWok48dQX9B7JPgBCAUZENu23zWJipbgNxju+k6DWZB
ZsT4uetJ2Tblyq5whVNesxT7jld1KiB9aISXoU3wmUvESPgY8pHcdiRh0305GkTBZ9GoP8C3d94Y
sShwSZOecHroOC62uHiGARw653IozNfebMoT3YIGlHWnss71Qp/uIhW4EvO6mHpiNMQNzlEi6lW0
93bkom1GmzxC3UTtghksPpS5MySQ9VXnTG5FeWmTNuMRNUuvE9N7zZ53r47WfACV23r80IheQtge
zKxyd11tTGelW+UAjD3fOUSaH6VifKedrp1VG5ojlUg+b6RLSHuDgivBTXozIjG9cfUsO8eitFIa
Te+xIAMJpmfJvGF6KkXzQKefsRbeArjpQCigr8XbBIHFTiSLe63VpkS9q8Xk0bZju4+U+CKJFdni
YQ39pmjUZ0JKjF0amWLL+/6eUuLdU7KNkABk+RjRet6ocVMdxzTLQbGGprwxwX2gUiqGm7IQ0V4Z
pzkBTG11OyB45ZUnN/cL4Y53yVxih6CdT7BOpUqOPYbzJbIwFvIbgs+BdY0zoKIukpmZ3+UhGXKQ
qMsD0GcsBkzTfZwKyVlh+r2xiqLcdeQ3+EY/dV+1pol96ZT0RezsW9eqb2ldkUjO9ngexjyCT91C
mTWcGlkXE0x/yjHYzfrUfqg6McU9hq2HFPIW9nTCeMsIHbrhlBznGyV8SAa1vVjC7nbETNT8Fklz
O4BoUoN0YRa/MbTc8ZQmVg5jf2oSI2bwOL41GPm+1aQEYIp3su+5Y6PgRoyxYdn7FjvyR5Ml7dpd
sunpZ3Q7TP4f3HF3Q5aWtR+SDjMMY3afWAqAOkADz0ulpO9uSsxkJ2Nl15nY4w2oQ9e0I1FSa9Nk
W3Vpfeg5kNB3k+5eZ9q0tSdOXkxoTQSk8XCC+it5j6YKdqiK2UpQT3kTOOtAt9vivTNHtBiGfEz6
SPX6Obb246DXXmLCcR+rfWHkeA8qdH9Qbt5rUV0Z9nJ0SIoU++GyY4nGn6orL2qCo5oEkGSbZAsn
DDIhAhQZF7tqrrZoYf7Uu2UEMiBgJNGTLe4dpcuOablE26KpnE2NCInpZ8E8LY6P7SKjbWjIGz1X
lHuXFElGWz0Bz3PKhFXPr0pW3M1NEm+7nPnPUiqFZ8n56g69StplhvSyq6AkLVXhk8xJ4Q/vn2Gu
vrAI2/qt0k0adjnFfuwMLdkvaVh6KKp+1IR3BOjXCZ0GKI1DBuH5EGYx+4HeX0dNRWGQAwyyFR6/
EpSsNQ3F1VIGh814iTHI9iptwqo/THnj7tMiUqj8F+eYd/NVJuY3IiOe/q2lii7p5r+ppVBr/0dV
nP9Dvo6vzY9fpym/f8/PaQohy4aLe5eUAEYqnyOTn9MUk0ELtZLze877WjH9FMW5v9EG4OBPrhXj
Fn0dwfzUipPnzDKHZs4ySbzSCI7+B2Jxirk/F1Oo7kwoe87/Y+9MdmNHzm39Kgd3zgLJYBO8wJ0k
s1cqJaV6TQjtLYl9E+zJp78fVeXjXYVjH3vuiVEwoNzZkMGIf631LYAztJTh2fvLcTxNmC8bs6f2
kzNFL9iSi2rtVAL78kjfoz+6dd5uKzXdZiVsfj+LGFDrrsfTQIfd0XOLUpIzGy9BTBJiVRQpARbO
Cp9j62jLpDTBE4HJKwvb2wJaLFma7M3SatZBHvLbIsSFPAk93FDz6bCDtNx4HzDfvk9ahocjrpBz
lthIorJjBu/Se2MtjMT66Bh6yniVQanGpgfFlH0H4nV9NfKA42khsDuNdrIbeHMmBBqnOrhzHBzo
g2kvhRdaR2x1b4mrtJc4y5nlqYLQtWJLiYIbbqpF7KlkU90QzKN9Y2zuegJdtpbyISlf4KFl3jE3
4RFNsHA92UIjAli0pGjTrwqH1sDmqoXcDn1tY5Om3pqqpdlj5l+PevPOEaO+it32uoVpsupMBraG
fAj67tqgoIAzW3E/qNk4jQzUeHoRXzIl0SfirydqPk6WrF5IbNNDYbQjLajhG9uPw+KhWC3GLyJl
b8pmju6W5T3lRvMrnXf6uoIUtoag1pGrZUAOwdjnEnwYiaOwu3XY4zrLW6AsyealPTWKHcB6/Uak
mrbF7Uz9Z+NlT+TTrSdjFMyXFxVFhYHYQnocMZVxYoz0/KuZq1vdsWZqkrRjC5b4vaR35qHCRw9V
KWAbJapsMzBSv+VYtg/kLPEQt+pmgp39YqXywWnicleOtFBzsECnDlJ3M7OD2nvKkRv8+Y8ccDXF
yWF4DK0gPFp0FXLKDZfCaS/ofmo6iBLfVbq4a81MnPNYEVrjpDAi9ERq3mRRcS80Y9xAKeRRb5bi
0mQttmUZsGsWEXhw7hzOI328jgB2+nSlKG9XK4ElI6wMgyV3KgHm2XLVyt4pz6YxdleQDls6NWrN
fnQhTV9ZuaO/WXzwdUNNtp8Tm4+xdadluTVkHdRYOSf9ikoYuz2UeIrINSTt9KUV9qztZE1e9mvi
IHGdmTVQpRAuNdP0GLYNw1OMR4lx/5+F/l9Z6AFkSEia/3hodiiHPw3M/viDvw3M9N8YR7nLOOzb
wvzHEu85eKLNZdhJgNjFd8Ts9W+CuViMzwBQ4YZ4Dn/HHO2PNR7BHHKHRyU10O3vadq/s8YDc/vz
Gs+8DN4zzxMCS7qJeL48A34ZmOFUaXuyzfKoU611pVFjylHVTC8j6MKPvOjnwxC0FndPtjQbYdRK
zwIY7Ct5QsCIgdtot9RT0koeVVN/axHQfEpnM7CuVDyOP6M2TkJMl+hoflB0QvOphwu3HQvZJsCM
+jSxft+R+hf4f5GsgmOUyOyj7yf71KtOPkVjmVDyk9Uy504yzIkz4Zj7rRgOkWfFh97us00SCcWe
m+KaeBGMnA9pOMQLdPcQZtl8Tryxf6YQ0bowTO4oPu6r4KvlmH8D+PM6zboIWFIRJ6+0zqp3Foz+
eQxVTqyyib40uhQQiUMbOGc9upTX9V6+Hid4kQnetGt4JuRuPTI5Xy47xbuySFiLXWCm514zWXet
ynVWYSOJhQylsE5mlKT0zyQzmDO269H7XIXFPiN+s7H7IHpFJWbeImQud41rC1BPZEDuJyOKbkAp
HuwSC+0+HrJwF86ePNrMv3Y6aRhYxnnu3OcgIeLdTNGWi2UyMpEYsUbPqygtjHBdgAX5mAxaEP1J
wnrwcaR3V45Xtz75J3XsghS1qDGceYll4oZUgDTrGTyqnUwo8WwsJcla/GjboHe7S+/mJBWnqNyn
mt78iDj2tr6HZ6f0rdmp7lWGS9VwpUYD+8iX42XA5DSIDLTtBrhMZTgTnXSmkrZz2+1fMh4+DAeR
3K8M4joR4f1pRMGn9OFILjOgM4KjOMJ/Ud8U9JT5uIjUtBIOpwuLMytaaty0R/ypC2UuGsNb2VZf
zHqnbq8vqWUEM1F+DQhSFhIX/UIrxND2Z1ELB1kzkNlT0I3JoReF2szelAisyU7/XhGpAz0IrbOs
ChuTtqiBRwkltkZJOowsvEGbUtuEyZPS02Ds72aNXjFAhcA/251r9PFlQNW8zU1s79kHvy7nfvwF
NdU6K4Jykdac9JnGmPis4/YNzmGjvHVulObKsNr+dbAH5yCZkT2Gkn8joImBNqd7qxnDzUA1I2c0
A2v9PigM3HNlwMGTOxTXBp6yqbXSbZPjPtYSUfscjH08e4BcCxLm7E/LDWDlpUB8Kd8Bbc+uCdMB
zMAlliXydZYaVybNQdelbmCVLa0Lu9o9xl6bI6IV+JNeo89RkcJZRPG9LwbxfNWTWF8XsuYKtAql
nzW7nJx103Q84KEObuNkbo9mXsMoSSb3IEZvODF7i9eDytOdsrsO5GQ+qyunUd3RTLr8MhmFhexb
OvbOSYr2onnN3RxxY6ZkgOHcPhoay0DG8ZeHo7VOHJC4ZZw0D1pnZmeqml2/KTAtxKNt3CP5s2rJ
HDqI11jeitHdyKwJFl0yhNLvTYsGzC69FVbx5FlwBGDfki8vBb174QVTeMSk3Ej8ABqnnzAlohO6
yeS+nh1m2inAUy0phwcozNFa7yfv4JYky83M6XfSTMyLUyH6szwh1Vu1jWPbyjeO7S0zUavprm0v
1TeUT44nbOvgCSACv7g57lrcdfBMKo6obte6D65LgqEanGWqFjasKSCFWStjO9DwpY4lqMo0nG/0
lLs3LvBBzj1rY4qEsC8hN+87zUtOgwG7chM2eG1p2ep8+tVyf2hs5khxqs45OZUdm315ldbmO/5k
0GVhTPMJjmZqPlS7IcrJsFDwpdwNkAM2wcz2z6dgnm/bpBWvxrPtcXKNp6UeT/S4XHEBj/RqacUp
tqPmJkEf/uh17EzYV1FJWlPf6ARB14nldgjBMn9RpZS3iBsk6EN+/hcmE1vT7rSznY7FjUFUc730
qj0Aisu+mslqX11Al/cuG/c7vCrhZjKUvs0qq7vu5xaXkW41nD5SLd0QGMpYdKO4u48tUR6ZoYl3
0XBJC6EGXKuquJZG1RDIsY0bzN/wrFrVcVcN031o5HiRc82Iz23vtScSHf2JfE+w1yM78fukSddU
e7FkZuGN4TXJPg60+FZDU5GrtJeuH7Lmr0XSmuYqoAnxqGdVtM3TJD/HZhY8RsXMFBfiUPM2fRMG
UQvik0k0f9+YgcIBb4w/sJwyghLV/CB6YfpVkLj1KsviFgKPah5VOJgnbK/DiRa1hZHo6AnXm4ou
ttMZ92bYm6AEk2o9DRh2fGdqo+dKVc2tmJ3xNmrKRZRfVnue6ON7RNzhQUSLq6hz2CeT2ElJ1KDc
JFyVR7tu79puapKbsBZG277oyvGYKU8OXhH9ZdLCrNiXnB/jZ8sG2Nv6bel0PIlSXSY3c8kpaBl3
IC0YwGLwmIw5vrBx/pBtD9EpnQq/rmOWYEo2CazUNeGREGrFbtDzh2Ec1Y5Ia7jhIg0O/JQZiKci
uxMkc9d24R67UKvINpDG/8/++F/aH5uk1//Z/nj3Wdbhn3F5xu9/88cWWeq/LWMGiOy/y8a/4vLs
38hAWYBXXeebWYek+7dRyC86Mtti27XwwdhMNpd8378x+SBd/+ddMeF9hjG8GJtwi1Yrh3/o112x
Z5aFDEqZ7akZeR1SNNS2SUvwQPoL8fP7Gt92oXfqRebGC0FVY9u50xazyhFqldzMmjIPgrzbocm8
eVUYxKu9jpFgPekErzVFlqP36q8p6IE2RS6uJ9noJ+6K6o2RjH7RgCDv2Dl0a0EDoo/cy+KhFeTM
QvfCYEXeDjwoU9nmVxQVDLwajW1iUAoImEnIYbDqo97WvurzG7o6CGG3PM2SbDzUjTvf2U1gr0t3
cH1jGroHM/ZSlqAxOEQUEawszbgbZgGrpQ2fHSsnGoygu3PzLLpu9diAhMd70vUivsXJWm9sUlC3
gA1ge2dPHUb0ThAJnxRw2Nzt3+HSYAAV/bCucYf/iJmvXKWDNTORmal9zBSNy0SJQInVMJWKqfEH
Kxs3jCo+KEUUqAXImTGUtcXH+W5SyulTx3lMvDTfcnAf1sgGbHhb+nz5VWnRdItLrppt+81G1W6C
KaG7VVPjvhKoaqNbGhevMrOXtrerZwYh29wb7piV5JcUQAMAKgkMLZEMyf2gy645m4TDxpS97qtC
pS/dXMZ3KWvfQTS0HAhBO9SqCvv6HuNRcI+zxb4CfTS7Ky23Kc2gPBvLUBWf6zIbXhDTmw/Pdryn
MReUlSGZDRi2XHmKOFdsGmTCg+ro1HYHqgmKTIAtyMze3rdCVq9unJD6T9w+eyrSAttrFnk7GMLG
2Spm3eU5kJUphcBVfXKVKdfQRAy+PM+EiRB1bJQasyoYbgUBk7lSL45KmxnpKFngFIuzFICAUeZs
QfFVwc8X9OgObvLmmr0G2DuggYVYafCUmFl5L0VAJ1Yel/dEJY2zcMbyyhoS70RoMnmraGTC328g
EC7zeGObJ8Qk20X7muwe42ebAovqQphbiFn8fgMFI6IdEMhsGnzXtZLWOwOa7GmK4cnXnSsOHMU6
4D1APffh0qBdR/1IYyUNakTHF0yDrhsPfWkXR5xxbFhMwiNrCu+mWzPk0rSh1qV7u+n58GoKpwtZ
Xd7jwny60HNXXjWl7aS+mPgdyMPygszPIgXmIi42U59P67HNq9eI+28XA+lkK0y+YR1QPeSs3KjN
niqjiM8TZuiPWM09mEVRfVKDPN4GHTzs73eWBEklt2gEvHwGivoOFwiSG+EOWvuCSN5ZI9egpbX5
F7xDKJiABR+axBr80pkc5qfLB29FPl2mzm4fXQBhX1m24Ajs/vcGm3La6NRV75LBSt6+rzRmpPxr
c4g0sTKwlFzFIzolWa3yZqgWsHoUJh1EMpU9Wd5gPg+FFoP9zy33jgSRdSg50FyMkXBfXTP7M8OO
8ukKeOa266ziiAGXX83ESLlFXW8/WjeKSfzBaeQYPl2pwDAvAYaMy6Doy4q4ItGyPTt480zmsqSh
Ik7twcgLsRW6q92JdoQsjLR7+o4JYDtJeU8MytuVTODYcvNr4Z0o7+kdQoht0mX3YLS99MuEb25y
LftkqMYKsBszkF47IS/fDfS9udnIVT/zP7EEp8CJ3TdVGYNGms9NEZ17Btmd1jz0CjJIb5dvRSxB
jzoTwum12XY3+hDeRss+N6PrmR7SL3vwrmgRgoetMfQ23Qu00K3oox04qKewbpy1rY/y5OD6AA2I
3Qh/pFlNIK7Nory0PMc6dscl+Z3YcC5WlTw29DudHag+FF7KcO24lfANt7AQZaczJ7L1MEIYC8qj
KNzg1sDjdGOMZrKVJcy21SCdaOeUKR5pDyzohC2aAk9V7/ueWWwrUxWttdr4KBgw9Mr8VAXdaSqK
q6tkXioXzRyutWn/rI12X4Co4jEJNhJJ/YY4WPCqheYLbcY/gd0RfSyafIv3pSVXW/QbLQeGmCCa
0c1Xm71fOU553wnLwgKTzB95j4lgZs5ikzhCNRzvi6Srjp6b7tj2omDaMz9w7BjbUXUBJ7ApPaWO
8ehMaHKupw7pOOUHnf6n/cAivNZlV23GAoInWC4SaPNy6C1fFcQRWK+lfppS3T3WXPg75hYwD/vg
VTdy5eOjXiG/kkivLlUs3c/YRFWwBqW/uY5G5DtNH4BJJe/E/OinTfpmFQslfdJJzQosWXu0yFzT
2DnPrAeiz/YhSWaIMxK71YyV1AvuVd58RFMbAC2R03mM6qHaiBCFlX4Nk/kG1ZbdZu7N4lQazhmr
VHrHZUVA2AkMttuTtcHYUMBH6bRknxZptbYaoveNYVafjY1lGuP6YcpLDlxV9d4hvqyVpNk4MfoX
nYJHXy952numsncYnX4CHnpVkdjpkwoeB6NiXCIgUtpiSMFq2Np1bRG4mgr61LkNGWoX4QvNoI1f
NALJVpcnchnhhk2C/ADh0F9cOzYeU6bS7CFQqfzGcqbjQDcUyVAzkGAK++SRc0CKWmzlnw36wWeL
X/YIucVdQibBuuy1fsszfdiCFzvSrigQq1v97AZJeQcJArtTpNhZCc1eDVUtz1VfDW8FvcRvSKDi
7JAh9212WKsays864y5iJW/jzvWjwsaTlubSWwF3D0/9SKj6yDnJGFdAyEnyeBzcJAM+nVsifGqd
UbtxjBpThzBHxY9IVjeoQw6idOucXLu2uGIKjj+lwjy2suaBx+DYleeSDNLRImkNY9bOicmo4MlT
cXsZMAAlm5meMoyGXqGd21DaB3YK6c7QS8VoBXIO4kZpbaJ6/CrIIdwYtB89DnU87EldqmdHtSVl
DRTfM+WL/MEd8HpbFVK5O1MqzC4s73vtqJcsYJVhqn0ZQBWv4Af6STAF2xLJiLeVKRCp2Q+XwQTG
r2C4SR1Nv66DosbpXNY7hULvd0Ma+OwZrpm1bi1N24VmyOhPzq9JXZfVOqEIlJyDqlGUMITFHKi2
uaWDNqtTa0ct/fVIM8OuLjHCYMURWztr+ts5ZY+X9qBuS1CjNxwrs3uVNMNeIhm9ihZuBHnpz8Fl
FqA4bm49ani3XYYvRhOQNTjgxWvcgtzi1LCs6Py58AQtb6gr7QCwYZJpQOjgNht34zCG60bM95Mj
3PMYm4R5JPjPqTB2IAwIoRu4LPoy/KTFYidaHnk9baabPk46BlfjeFw8F4CrmuBACOUUh+piBba9
JmebHIAIj1dBImlLXifUFRsbIIsXL2V1Na7cjrhDv0kWrFC1SxlO4t5zEoWa1DUDlrVmwJ9I15AW
8kiAkIgf0tPDKfddYNXjYWT/O59stiqpn4R5am84NfeUu1ZmsrKpwkoYT/UdNTvgpTlBg+egpTVK
EfyslSOC0twvTsIxt+4A/PTbvPAYpVrdcB+4M2zKaQbnmdglcqxtXbf2/KKAKW7myrnEHoXBDOEQ
Hb3CXGdEt2+UW9k/mhFEamIW8w+jMdrrIXc1bD39Zx1CFR5sE2h131O0jXxxJHo8sPpFza03ZOZp
cB11CdmqbGgWEutJc98gBC+dxl3yPrTh5MdajamPaqpjrsUMxhO6cVPVYJXsY+ZvlYx4VEKUGFuy
77okkoVTYgVs5WoWbLSzLPlwTQZxlsqheRhUoJTWz4jIzzpoY+84hRhzN4mxbPrDqW5/6NbQfsD+
Y8g1FFC64TvuhRPbB8Jc93rfeTp5u37W1mnfpod5DnC4z7M1nay4BoiQ5fNzBgLruonynxxAQ9qv
Tbgpq6EldgZPoFzHRfRT5TlPfU3lH27vLGsWTbFbimL6bU1n8yvbF2djmmK8tDjhfPZAFxEn9g2J
oLBZGWiQR0aqwBomOM0jVRJPDoHtK9ApxWnOeomQOrV4mAqFGY9BZ/SjUGBUV0ESj9ucSTkWGW+J
8XE0LNkHZJ78kKHOwtGHtnHBWiOfiflVrxhXih9zVJKx7wNhaSz5LjbVDtPsQ8Gmf2MbswRz0Jbb
hoVxI435EE/EsiraT3hAz+k5Drvh1aBfkdyei3pvFxGJNjhSJQp0ySUUsilJSkk3VhF77QM2hToM
NmjZxSzQRHkOQtCljxlVYQ35giGzavqvqMnzvSvaeF8rbD+jVnymI9iHZgpcjo/NKa2xw1RhLS9O
rve3YdRWFzAF8zpFDCeVaGmwAqAi14GI14kngyNv7JGDHy5FD8MsHBx5yBwt/A8U6r/+pTyxIb4l
y3+siu5xv8Txr+6XP/7kj6GPYVu/ESohMCzox6Bd/e9hYsPRfzMth4IR7CffLpf/HvqY5m8ED2jN
sXW6kBaY1H9ro4b8jdQIWy1TLCbafzNMbP85c4PmC4bV4oRkUv6LBPtdofCLNMqcO5vR+Mx7aDAV
z5w5x8eMYRz9ZM5y71RZIXbjOKt/gmaANwgx98LmgvYkS6NMLYtxzuHQXmQzqvrWmgOmyNNAc4x9
9droOq/D5UgEVcPLfZvU5GnQxmxxKHEVbzuaqDYVAd2TqdFrxho9rGO6RHclzpLLnIh57wGuWEWI
Hp/FrGGxj6zBwuUdRzdjkQE+iZp2eMech69dRFPMnoqvzY/CnmNvndbzlhOwOtqTVv2AkJe80xc8
MZaeCE6zAXydasCxHlKRy6F4bj/7OjQ4v2QWeBrduAsj544TSByvKAY3H5epT/p7Sufn+H/Dz/J/
yAOJJdb099jT90/gkEngV9WJA1FB/uc5XI5CkeBpde7nWngHW3T2pjJHvLReOZJAEhhnAA+auXcL
Oc88QWnio1WOLAmepTqnx4gOICSS8uDNXX89B3Z0hvJVflAZpD0Xym4u0VJSZMdJcs2B2gCVsZzk
OVLLXYj3dNs1oryRsn7E82jv7Wo4AX4wH8zI3BFS/EgU7KhfRqP/w4f2/lLSSTPIkrQCViIZq1pk
sP78oSuaJEMcVJRelXnwaiy/fgiy8cUwrfFWo8j4QLtcfaAMluxmxO4R7aGdtw1PEzLro/6jSo1l
+GIP481iCjmiO9v3wcR/KWGan2ZVGlchsIqbiOH9ibDBeGvL4IlhjLnzYkYltLuTOUwzfR8XQ7GL
tFrbgWdx1miH7WbWc65p0er9lT6Lj8LpTkNtGvu2C+w9sjJmcysQ65gY8ma0SeXqTBm2dvyaVR5N
61Y5/CTBQGwRFf8nsQBxcKes3tcto/wgYkNa9d22jYfxwk2Znt1e42Zq0nifig8dk0xNHVntNOuU
9PuV5JEMEE3izY3jRq1KN2EkNhOnNmOmM25RjJex4Fda0QWcXOdYBU6TzMznCTfbp8zYRhAc56yO
uQan2zi7Bp3tTbP3xiq+oq1Xv8bQPd7KwuivbXYqLUd2ktYbFc3JfqqJQ/vAM8yLFrfjTYMKexLm
MvSaJblwe7k3tXQm9z00z1YE182j0O5kWbXn60zK/pcu2b+sWRAPYHlhbxPCEIQEv7Nevw6ukXEC
/AuudolA6Ny1HmWXGlTNp2kc5Lp2wRJQBsO1U5fzz8GUs9+0oK5oTpmij6Qqx3PlmMFRtbp6dpUF
RinK9J3CUTZ6S0S6c/JHsHEkWPvazniYY/TK+O1PJbb3ld6GM0RreJqcTs3LqHM+WNFxueAStOna
WkLELFfTtkf1WRbUMuWMjuV+Y7caijMTdV5z7Mczqez57vuyrRJSzjEWgetakQw2KkxPZSb1F6nl
zbOXGM1zoc2KVHyMty+vIirIOGnFPwodFbmsCRgRN+8obu46Z2fB2Hc3qYzkjdQVo7J/fut+4yX+
vl4tXz9+TEkjFTjDRYlYbu1fHhmDIgIbznVwMesKj2NruMZqqpV2j3WbT2AkJqds1WgPyRRTamaP
lVddj3URjTuJc4GjOfcgQ6FMBUeZ9tV72jv1tPLYEuHoMurglbEVH2aZ+R5U3Gnbf/8DWMvjFVcS
z2VzwRf/+gGKOW1qI0JlyBzMiWNijGdF9GaryAqRRShYZwI1sF6YDksM+CdtQ+a/gimk21dkEIIv
7j1YCDjp3wnuGCDkRvKwZtUFW5XJ4CFzFVGBqAg5kf7z9/7XSqPly7eABRgGc1PPtP763pkgLzz8
wb6UnW2DtGia4IurOUCTb+qMPvp4vk7GZrzJIBbv2lzyCcyiwFdRxf2RjAUJb2aSh8weakisSnto
nRya+WBhzqtVV9zMsolPHD/G2yH3MrA25Bq+sCUyU/Fi60cTDNDz51n2HGnm8bazhrTYuYStiBzb
NBYsA8+264JnMzKSPYRAeaQSHGwBVuBt1ghCfFk0vtZOMe/qoQ/Ye0f1hgBSIX3E4fGTflfWKyjM
eA6byjQ2CL7Qusr0h8H8vImwraxEWlWHzGLiVbjc6uwJxtvvWy/wtPCjDrQIGHDK/9kxPzvOY21e
OD4xKs8TkuaMjaIPvWrmbQK35JUrr/8EUresIMtXk7gBCZxivrb0ma/PguHLHK3WV5OZpw96Zc4E
FOB54FVIfooyh50URuMhHcwGyZbBoGZxTIxGxhk2A9kz/mKeJf/8QmCTyFX6p9sQbzR7BvigGCbY
Dv5l28BaDVEh7dWFU3kLjknnBlt9r82YQBiJBIpaSbwHMf6iKNyyFaveHbOdkYFYkzZh3pAWJIEW
ZUl2VDEjOiqw9Dj1ey2Jc7hxxbZVTK5W3En6j4mexkeW//YHnp7+s4tdS1vDvMmJsEWyBOHGduy6
L1p7Q+XgxHVAwVGGGTcLsm1mgLlaefT77CUnpzXtRe5htPJH5u2G4F02NKNoZrzD3KrdMQmZhnXT
6d2HsnmscH0tjYtgTUZjbnYWdy20+HjZci6/azXE7XMzonpoKaLKaMbzxhPTs1FhrBAlfDLeT5SD
o+SGwPfMxZqYjeVjPXR/CtfK1zUFAEdsLvp+9rJJY+QwE6NgbFReE3S1PB/uYPTEcyB+ajSaSVZz
NQhctHGePDdIDKgcqXLCfcS+Bd61YDVYNVEVfWiea1y0flg2OPVYHnWJvVprcme92M3oD4sggqC/
AFAg18qSl5UNX1Qz1Px30HbcBrjb5sCXTmNRWAa04SGktecQ6BZPndlIxI9IBDFeEcOp0itsWMv2
x5vuwjYutc3MLOYHPjXW1Vblcr2oXbqvFfiqQ3tIjxMXAuN/WNlXmoXBzbcNIV6Mco4l11M33yUF
VmJ6A5LxUrO33MPE9uAxN/P8ZTqpPMhu1kiS5SksAga7cL/qedgAlIBfCPWBtp2aky1mYK7CWLHL
XI1hvW4BPXCQrQJ9HYs5+3Ld4cLROYt9m21rsBpSQIPZkOZn181pIcvdAd8FZdOrxpvmu+8b6T8h
+Yf/pQSQFYWswz8+2d6XXRv9l/+OZBv/uQxA/P6nf5xwXfkbdUi66ziOvpxvsRH8Yf6VAr8CmLVf
EvGcG9vo//0fYf9m6pyG0TJoRSbnwfb/b/kOOFqMy2w4yc53q6D177gcqL3/8zKJfGPrts4zEzMx
G8a/wh262EyLOolZPMhuDxsvSsUAq58Gjwii/9YpTKvz8YzJO4+LkYQBnYjnAaF3DXZQsp8UnfGQ
BLF4JkI73ZaOWdz3AP3ePMsYb6tZMMhxh9neV7Xgoe/xHV3FHHbXboqL12ctcPI1GlbCKZZYvzjJ
jIxgapQc7WCaiCMdPZnaKADkM/bgaTD8lIzhSMcPndFNTkoEcWiytqnWWDc8UsfbNCIEQsVSr210
pYljjbCBCObYBSVtIjKjQz/iW+7xIl6bWh0gi5kcQLpciOPAZO3gjbFebBjL9q96zptas11pP/lX
Fp+RBUoIUwDCCHlm2lB44WzaeCQ8DmNAiQu59ZbnB000dCAzvHRh+BJ5iPnB9zbgpVunoOMLU2gc
fMyYr3AuGpwLqlnjXB7wzp4tTF7PYCtTBsyc+xCXo5uhC4qHqpHlTdvU/USKZQxtkogmNNoA9wjs
rZzHiK8bMH5Xc1TJuzHlfSmn4ouE4YMbVBcU76ysZHTv2AZVb0aIly7ISqZ2BLfpkw88l1Zdek3K
rStpaLMJYmPjrG5SQ3m3doM15JQwLdk3fH/bvlQeDXoxz4IoGk4RuZjtGPU5RzG7wBFgKHlH6Xx8
TlJ6z7xJ4gUxOKjlQW08BLSYs7Ph1wFGYx3Gzi1v0lr12v1s5RMmm8Q4khgdfJWlnUXnk2k34Lfz
ls9sILAWsfoxzLl6hSZsPlf6ZAnfmxUKuh3azYeh5UwB24g+GTlM3t1YhRFWaMu7N+mavhvFjGfW
G4nBU1Yg3mhOa5oVV55trttIG97lnKIFYaU8VZVwkSQmnQjJSKvFPnBhQR26bjIBIAaddjIDHmH+
QM/TRiD1FtGqEV7SHiI7tQeeHhTZYf63SdHib72tpGaIlVE7ziNcR+s6Ip1K5RveTlKqkoKqmSy0
Uc9iFxL8oO1SY6zK3lLji6j3E2A1+apoVVxprQd4IaoQAPh9lt4jTnWdGjbSlXIb1sZsdvuAww9W
aHymwGyVmuJns1oETGgcNmdeLp8XwJjaPdHtBhJZcO3mOXHNvm2eI5Wf4Q6FJ55fsfczsbUER54p
wARpxzDX3WLtmpn+aAuduOUM3Jso07wJajJPOlmxVUtd9UHN4fAUkzxeawxgr5sEM0VTtZekM0Ar
ZJWJbSKBvbNKuYaeHLA/zp7bW3soQhEQ7GT8RGWAgEal471k+GVSHJeOwC1asyFvVfAe9sA30YP6
zuzWtA6QYJB6coCsa68nr7iUszy1i6yTLAKPJ8vxOCyijzsCBrQWIUiV427QLO0D/8NGAYv1VTDv
RmkgHy1C0lS17hkSwj1w13DN7Gcn28R+AqFEBWLXdSus5fgoUKfYHyBTLYIVvKpoHS54+H6Rs+Qi
bAUFNKLELq70RfXC8XymRyl4VXU67NHWsnts5vImWfSyaVHOrEVDMxY1TS262rAobJYzn2Mlp122
qG/RosNNiyI3avwVZQop9pBFsEuR7soAqYBWyZsZYa9dFD5QGpxLvlW/Rf9LvpXARRN0FnUwbsof
3qIXUt4iN/G3hrioicWiKxIhUHuE0din6lE7Jov+OGVUInZu+FbGiC+hgQqQLnql6dGFl7Vl/Uzd
8bDXF10TAzDd0M6AtIje2dVOtpuWyVxbDzh2DDN4E6lNVd8YYKtyEisHOkWDzaFzyiHdi9yyrwpF
JNDzanZLFeCPHftO6yhpdPVHTXPvugonVIzfef1dA9PipuaqcGaX9qlFhu2/JVnqnVuyvN86LYqt
+P/sndl23Ea2bX/l/gA0EOjjNXtmkkw2EkXyBYOiJfRdoMfX3xlp+5SaKvv4PNeL7DGkJJhoAjv2
nmstPbvl3RvfoqTAy5dUVtCUKcmeaz8vdqLHkTtMrGBXtB14wkLbth5D8zMqbGMLc4eCfCyXW2xM
oKWaUR0Kuwjubf7iptVTZeLUn/zLoFnomXOkp8/qMohGRc5Q2tXzaTg2RtWRnlrnlwF2dhlms4da
kDQw4Xb1rHvQU29bN1mWIiYMAA0FhFNFl9Kn+XxEpZ5vVI3yvDF646mrzRZ3EWD3TdJjtWDa6sHT
o/VJD9ntNCs3QceZ7nNuA4bw5sT2bBKxc7AswuGG1jGuqE7Tr7Ye4FNrYyoW28WyxvKAKb/SA//y
MvtPNQbgaSCgivuBSSKQwKRxgVo2wXUTWq+GJDJVMwX02RFkas6gBTgoNXnAM5WtLU0jDJpLWDSh
ECkH/+T0NQRdCDTDsGiagVBLXPuS+XkGpd90mnnwffXWFAAng21egWhmW6UJiSj0B1JQYTmQyKaH
4YJSWJqqWDRfkbcE4mSauSiBL8qoK3HehsfQwPm8on8GpjFekI2W6EaiEOE4aoCOPo0/kmxAKUV9
kWjkY9T0hy/SZeOGJtYIUi+umQuOTY+R/bqjsBO6UCT4BL5ZgCWG5WEOo1mTWFMnleZPlFAP/SC+
hYApZD002GX7L2Uu8BTV9MqkORaJPfY1Bto00+zmpYqgXRawF5wHQ9bOugaZh4kJogFtguZk7KG+
cjU5k4LQJJqlybnnGcfB1wjVyr2lmZvaTPcKMOhYgeM4mssRmtDJQXV6zex0mt7p7L56pLuKIvQC
94Sa88GXbsBvo+qQTUEBwUIQAgwYRPDKs9CkkNm49tnW9FABRtSAE1lgRYXmixJNGtWaOao1fdSD
IfnFCHAhfmsvgFKvWSVBXvMhgGFftU7tkH0Ww5BquomKxX+ghUgiaj6mO1MTUJZmoRRQlOKiV7na
J9h7EKHgoGCFn0o1STXHk7Wh/waoCGY1Zcy/MYTu9+yQgbB8zWP1sY7cBdFihMu3g9lyNL1Fqi6y
FYCuLmUTTrHZiPJMNFxE01Se6KV/c5Po0JCVtYoN8xyO7Vl72OdxR8ejRSVUF68qR7e7tNPHse3v
atHht1LeUK0Bn+k40bwjC2qe4fdR2EZ4v/OY470EvebaCDlgVoHaSo23eQXsMOHEKyL/8Dc0smK5
I8c0O/134/e/AtkdkmT+auN3Vf6WvP244xO/f+ZPkN35oMWZ9EYYQv4g9wyCD1T8Uno2Bsl/ZLz9
seVzxAfflT7aeN8lIA6957+2fP4Hn7/QH0OCf9kN/gOw3XF+nC0xS9KmaPw06dqWF1jE5vzQ3+0t
CvklnoyrkDJ4Yzd5/uamjAxwsDEttEJgaQPxVTODgV6XtllEc9+LVXHD6ulMayFK1D1mMvzm96I4
L3Cbr9JMETtHMosY1/cG6kjsxiFRlvK1cNlcAdlbZ8gm4sTTQdk3UMoMHlC3AFOgGfegaYNHDKjy
BzVh7WQObwXFH9PLOHvqAONeqiwZjPUykLu6z8x6ekOMXUyULAbNNMOOAMQnWdoTMymCOAhcbjKk
iBm6PFsVOCPNvNTANsjXytg7wfHlsr/RwLuN2D1cHOyKrMDZ5lVANjaDxhRpd5Da+0bSHtTZH/G1
DXQdbG1CU+C6y5wQcWRD1XvNZPilYtRy27ezue7tvD1hWzC+B8VQvtA3dvM13gDzKRmz5n6u0+iN
yaFFoo9VrRikQAJT3nrU4hARwXiLJVZ159oILIE5cSug7Tj6+5yS5Dawi+neyW0sh5GxzG11RW+o
j0il6ddD2TMUc+b9aCX+HfirZO23i3cEaQIReYF20RU1AQhp90iwVku6S9tuGfrYpIPhjrNiRlUe
3S7yNylWvKdgGlHOLC0+esOCnmtlRtjmISpr/OvAJDB4rYw5f6I07x97B7t3SvpxWfXZIJ4TPwuf
O4Ncunp0my3Rf8b1uEAzMX/zVhUvYjb+vM+WSPSf82yum7UrC3U9hqo50VUYCDaQS4qxqs7VaHMn
Pg9OmW/rRrKHL0fZlCQ5+8NNbkxEnWO1nb01F9ynnagWcDnlbWSROvtKagwO9mPYNFg+NXaEyYQs
xYFGcvIQ15n92YqK5F5qX60V81j1KICudn0TOydhEZULMl/FB8PuYHRmymqrG5oDOX3DQ0Rextoj
a/DFKCOFMrWQX0c1+mrnUe+SaoR7arJFjyEfZOphjdF2UUXqSGR7d7GTlNQslK4lJcOSvTv4pUnt
iU3j2cS+VTKGXjcF/UyuYwax2cZ3Pj2Sm1bMiP5oosutIBsGW/6SVD6PAIQNt2v1MbAbE8FVhzWx
0fD3ooqcm2Zw+mqL42N9m5KVmrT4bPGUP0+lSHVWSkRiF6eH9A4THpeYC/5TIRXuutUkhzn1HtpK
TmZ+XRJ8WjL8RPSAW/CobQCHxQwf5nGw52PsxumhGb07EaTZpnb8BWUE2VdoG+XjxNhg2Lb4qb+E
IeJBkYcEZPu9I9t1VlvVmkh497FH3kz0RyJQg2ELAciZmLcOYU94GvLmd5rUXeFZCJGMp8UWjV22
DWxqcMXz8hC2E0B+Auj8aQpHu7j2+s4kl0dXLXLj1EtvUuO0zIiIIqcLgyFDYxzGXj05OXlRRhZI
bJoUsnJbDUfMB72bqq4VOkRicPIpX9hwFPM9EkSL6XveYHzuRghy2/x+VFTXFCPT2smwRAptSTQ5
sMjG9iTueW2yEk18i5P4qsfAlyFpcj2kRwoPfpJtNPveD5utTKwXL4yxeEjZX6XWqte9HIAIbKY9
Y1xPIO1PsWM7V2GrqrXgtOzw+2/Piem8yL6ONkh2iGMeB+MGaXl4iPRqPffm51LgMYjTLhd5/k21
w4miO1+HnXlKEwuln6DRtDPb+NNk6+ovrZ4CHz1uEdTvUK75FpzywWSGC1+XP0W2OntjihNmUz6D
SE4UIicsac1dYVaPQ2KT0jT5VNAmiYbmmA0bq8xROPdTHRz8GFwPFTkeaEPboFaJvRsih9ujstsT
kTZkQcpg2Fv24GxEi7MuVle+Cb2VxUdcuJyEr1cvL3hWtjdyGkmEBj20uI1OHlf72owUrnVGXz6Y
hBztDeyq9LyXu2multsZ+8GQ+4c2XpC49X0zz/LBXghy3kRJl9/jaM9OWKrf/Co2j1kSidNSSNKB
2zEo8MybiDSlzGaTGnD7fYTCIGZYuNWmmVxruyRtsYm8aL7NJxoA8yDUpyWL+rXhOi3EcXLv4jzM
I5HFa0Yq7W2hsmKtyFd9pEUQ3iOCdFZOzwTbrcwZLG44yRBXTfaC8Vs+hW9xazb3Vu2Pd9Ykp1Oi
WvvBS2T52I+VtkPwji0ZUbCD3DqpYX6mYdesXIM/4nQKCSTgN7Uy/32cSKBDi+uvF6RaO7geuetH
P//mtWF5y4Ci7Rdwjs5hQKX61rlljTGuSSvzyT+Li+YByVG+aXxKTtuvbIz0rZq85zZ+d/KcZ0tW
LabyWf/ATZgTgWLm2CSELuYMnr9NvKXdCGHe+YDhm85KAREW277LA1tujH6uz+4oXt1BeduGULnH
QmtG3c63PneV0+zaEb987ow4Q3ExmGSyO35JypWlmJjY3l7UKjkZgyePbjvOKBiS6crreEXi0ehd
Gfg1i9/5pP8OSP5mQEK/2oEM+M8Dkpu3tn17j/v2a9e13xOAf3zyj2rZkx+IvMFjiomG7WPeS+H7
pwHWxQLFdl2L6GEoKJsZ7p/lsvWB+aP9e8SHrr7/NSGhkrawTEF8hUeWFI7p/aMJyU/zkQCAXwcv
8xxzMPMyP/mO5mBS6hlZbdQH7Dm/xVUk90bADC4JzPFvRtZaT/rdwJovIXwtiKXM8GxaOXpS892R
CHwvnWUSHMlaxlVh1q81ExIw4rj/XaP8H5G6f3ckjoEVv+Nbv0KNUWeEC8FR9YGeYM8swzy3A+02
r1mevrvg/wZj+zcHAqC0SLXmcCbH+vErDcQXyUot9WFus29Znn1j3P4t5b//l8O4OnKGK/7LNeqI
ZWtjOJpDaCBqo42HyDEmpCibkv/DqeNelWTMSKZyQuDX8/1FimqzcKqYbzSE1KuTicAF/j64VmX6
N19K/6SfbofAg96yuE7i9/3g90fCPQZvQsn0LNYqUJz3H4gEfqLt8VQP5Bj89RnUW75fDoaxvOeT
LSrhXX/8WgYvMZ7NqsY+SwclAJgc0oB2UWUkb2ag6ToHokfMYffPb0WdCOTSCEK5Tc7rjwf2VIUt
R1zWB0ZpiMVwz8JMwsiejJT/++vvqG+2X76ji+MrCnITl5KfnOyWPu3nhBr4YJAPcyj6et6CYoWP
f32Uf3fLE/j8P0f5GTsJJJECPXmVuGm4J0tNT0MxlsdS/d9O3XdH+unUMf+PcZflSHHezxt0Tm8Y
UObrv3+8hD4zP5w5PZXFpQrzdu0+8rOhOrB/CFrfkijnpREVRVutOtrW69F2npvEN9gf1ZRUaWzt
XEXeA/uP49+cVfPX8woTG2CFiIAb6tn/6Q7FzcYNiooo63ograE2B8aazGWmu8u8kEIJ3Z5UYtfg
DnAwoUnwxqEYthvUqQNzQW89Vj5ihomCTFXl+I5CFQFOSm+CrowW72ffZsy7rqIFyLP223CFCzxI
qCWrZlXV/JM5Ru1sgjGtew8O2J+a4p6i2Pqc+Rae8tSWr0MBYjMWE551/pKtqrmU+zHlkcr8yYuI
iKc1ghn6FGxQmDpXXReXW0wBym1n+eVjZ6TO0ZTL+N6EvGgEVvPHwRMcJXWq0xi0BGEw640r7GJy
8wtzVWTDVESwQdJ5K0K+NAoWEpXgvc+RhRSRGQgj0YGhQboSfU7ET4Pqag87i9egGU7bFIMt9KC1
QQQR346JarMqUqp3vyOjF7V9hjIY7TM2OmAA/iTw0q+rDlMhYR+dAhl0qpbqJFCLb4KiSfaBLAxk
tqb1OYoH9zRFIn2Ngip/8sYs2cO41C9k2FoE1PKDVj5axJe6cMiF9MIBCXHsYwJIjTyz3BCEwqTH
wHfniQIczBc06B5UpnsNOTWnOG3qs9en34geIq499azP4HvfyPILHxHfVlejXp3BeBnM4I+e7VRu
AhW5UubxHRm600M6MXrmpdLRcy2S/RCR5UIlwkw/Z2JwTCIbOsrBQeQ2ArE749xefvMMKW5FBWDM
5MRl1GWMJCpdnryc0J0j22F0/FjIbklE5GvSRocNjud1AUP5MVgsvlJEojI5n0iZCgyxNwDpKQ5L
3VAt62rRg7GktMz6htlTLRm6EKsah7UhtxYRzsGaERVSbs8s1bWBGudzgBfgR3SwxTfLj4Gosmje
Et+LZs4MmoOTCvlU8XB/tMuK+8dVpgvJ6GAxuEL3PVS7fkLHgPCA7B5pcQloRGf4GFmM2FZGRNS0
mWJV0DaKx04Tf2sMi+V2YZ+273juyXzPxzp+6kojGvb48qZvCMiNHW2W4cbDaYGekRywwiW06GFU
cnhe1JLt3brvSPI1FAnMaW27y3ZJ6f2vVBvhLerhOv9lkXX7m7XwbGGljSABtWT7afC7+iVKmQZe
gPFiqvhlFSENR890kplxWWIwB+VKuDE5oQ2JLMeLa4GaCDbLVPrNCmJJUpBnH/lFGIZEqPoNJoTj
Ji68+DbKsEHqo1zucSsYV5hws3W1WVjjAFdSN0bcSwezzzaY6sdfyxocAlNTGqZejIrPEf1z3c7D
njk5eJqEk9wuY1AeRyf51oZa52h0TL9EvmeC+LXrFYRhixS6sQ5dNXzp0Wgci9IjxIyE5xNvY//+
4togSn4tU+TDzUCE0zbKeM6doAsRY/jZZ2bjy8mUCMEWBi7RMtXduhgzrI2yJE3oiebc1KyKaEjy
Gv+8PpVnm7p21xg89Vmfkw+JI97KbpnIAu+CaowknzM1Yd/r8L2tIn2j1woyPaYuu9FWzzg7cVtF
TG8JjrCPtG05Ggvqay9DQiNzJmUDFs1bt4WpWRVBI89d2Y/vraHAiKOWNSd2suBeeBCxjkkT2mWh
VIr1AwBAMypwgthszxuQC2zYXbsP7uFG1LUYex3ppou9XqpmnxOeRdMyZRGzUEl6I4fGGVMdkhYr
Oot49vfYLXFxIzmAzqzJHWyS+pXkZ7tG5RZDK3IR4FzaRpf2FaNclJzcTGMTExJRCDIzfc5OEsoR
DWYvtpdVd4yTly4LxFeT9g8TSO4R11zEbYYK8TZ1gRQGJtyscRQzK8Po3FtsznctjtXrodIBdDid
7dH4IsRfvOoTybDyvPi4i9LGUmteuOO65wrToDMVdhe8DQhijTTtWJbHcOmL+7Zn7TEiVo9R8tBn
AynQg6z6nZ26DfNkTDbs0DK/SNF3p8GgEZ1V/TkgQ/vQekhjUlJl9wVhKDedSs52YhPgnKbteZ7i
7iZMl8+JaY+faXYEmwBbur2zCBcIFIK0BA8518BTd3lGKjnD4cSOCRsMGYl1ySee5yc1YM6OHJDA
vwjVPb4f9dnBiSbntUg8rud8wQ4Ozt3npZcBnl4ZSZw/NSUrrypZccwiEB8TE9p/vXBJ698XWc8B
PVq4BiBK9rjKPAzdeG+jHSXHoT8UluuofRnLlSXimqTUVhLVNuc5i1nKPrPhFkllsRaRmV2VjGEl
aIYPxZ6pQm3moYE3yWsbwBdJTGeu3HDEwL0urE8to8vj2NjFkcGfWa+roG+O9Pr7DUOQ2co3YTNV
vneaR2sqcMw0c8X6B5sZPjQWBj0bk8RtulHJUMS42Ut7oHFWhENwdIYeH29m3YjkmIRL1ROai5QT
/7I0xviWzPCvNcPIlUgigKzAJ/4KqIkoLLtxMYhrLwFZmNXM5POpDiNlz0c7nTo9OmD4g3Tb1bFy
cCzvxVCw9rSvQWZmaLen/HFMbRIjauExI6G+d0Ar/Hk4lgSNb5La/OIE/aEmmJipPY09BvbxzsKr
ccPCMdzjRWvcCLs00k3nM40xcDze85xa5P6loNGY2DD2baB4pyZ8yyCitj4NnK1lYnQPXS+eGbkT
dsY7GoIlIpGrdKzeWEtGHLc8rtF7lPuih5BjJJv7hHWmuWFcJZNrBjsfRBt7AY/l24moTtiwOeNq
dGTubmq+8CHrR2C0AK+Z/V9Xo/YvxaguiIUFvclgjtbFT8VoPUEPB06fHeKicI50MotvFXp1VLfd
2JrA4Q6lFYMHThvu2d0tdnvsnhjTn7GHsSB0ijdeXOURtgHq2GKr0yZ1WaxzDF1OjpXIa5hMhfsF
0boMHEAcL7qqKOQZtCd2SlsHf8hH2zGdNwBSsEzJH3vQMv9+DgXLbThP+RNZROnrZQ0syUMI1uOi
rQ3/+lxoq/GfNwdII/V8knGiRl9/3MHBOiM1b8380FBMbDx02Tdd1NOIDxQ108UIBmt+KCtrocbK
pKpOLH7uqbMLZoVC/t2++ZfpJjJBqEqoexpG9B5+6jn4iClZD/h9VCGeenM+oXLEYsZnppv3D+HM
K/+vz4C+2D/vjkx26o6DhS9tp5/Gqa0zuAWUX34YGDKdyxDvElGiZStJmtLceHX118cT/+7uMxkW
ow2Utm0HP21kS0Wx56DMY3FtcGtixUSAThwGLg3cWJ1RSeAW7jWc5ce7yyuYWDvh7WMLk7JY5AbW
GLn7drHWmQg1+Js74pd9tsRHPbBIfOIJ4bz8dD46DP68OhHJAX+GZO8aUXWqnfHvnsFfOhYchUaF
hZsDEwD/50eQsJUh9MoqOXgOlasXsWqUtdetG4sZ9MrL0BaS0pDcxqRwPf/1BbB+3Q/ryb7u/0gh
dJzZj7c8vJ0zqHyMDxCqUXjIMdS9NphqvRY9dWlLuvt8loYrn0pnfiKlu/mGpHfcdvOAm2ZXoUnX
i50iPCrvA5tIXYJIHUaoaJQieZ1WZfsbjklhd6Vlr9HvHZf/9qv/pl+te2hcyP/crz6heO/fs/n7
VvUfH/oT7BAfeMLJoJLA4j+Q/PKDi7e3g5Ou9ANaxdwRf6L88oNwLEnvxKS/ZtFB/hfX4X1A3cx9
DPCB2F1/6h9wHeKX5w7BtUennDUB+ad1uWu/6x/bBL2qYMHqfuDWidlD8zIYRbTs7JHcgaTx5XGg
aUBczlXdOLwqMWiQ+KkM3UH5BTuWRjR7JpOYcXx3Gu9+Xwp/SHS0+I4/LpEWX453sml5eN+ZPy8J
U+vObsYQ4MrHb686S8aN54Aijt/BCN2M1gReXsIxoLxAD7uIWbhRD+26QLUZ/haUpbhvhRs0alvP
fuF/xto/up3jZuzW6GnFSxFDeqst8dPLDm9bI9jkLr29MyPloDU2jtcZwQH+FZrSzMou3pAB5mQT
jqx+pj7F8xDhRGogpqaIyJuHIGzZEDl+S8UDFCGPuAEKDY+k24n43CboY2hBOQb2Hetq/0lWNXSu
aohBRRGYA9KAvX4pkIthIWNXYGuOqtM1gmfwwiBjjrgbQivOjx3GYdkOrztEUylOWfdYeuBlEY2k
0YRPbFuNPWlo6khpIfZ9b7fviRmrsyxcEuXS9iSi6lhXXvvRL5PpTshp3vstpT6M6EA2GNmmib9A
kJDr5N02jj1fl1G8M7AQAPPpRfVgOPLFtFMoMtjfarNkefyMWrL2V2bvjjes3cb90rMjRoQ2t9sx
GabryF8eTTbIZzWzOZoWWfqrdvREtAsyw/miWkYJsibVanJdzGB7+HDvwQyy+oE0EBv8Pyju3IFs
OGBOJbIbXIJb+1MaKTAbNOvnBQgb32iLVl4+fpxBDtCY2uXV5BGDk+dFuav9Ls7WMPSUtziCa3Gk
OEx2WG998v5W6C2a7WTW9A2WblxDI3r3nPXmFHgZzDPNqSMpb/IohReQ32jm0SYszfwZEXL7sfLx
kW5GplXoTIz6sWmT5dYurenaHkz/t8iPvZ0Tds0WcgcHBWvoqNoGtbWSCrEB593ZLYhjmxXzlfgt
47ZHCKumdcedBv4XjQ+mP4y3aFeHkzu2/TZ30No4DZHRHTFz+GwmNl+os1FvFwo2abFWERFD3NI4
Z4W7EcffeU1MoveM2AcOdcqNVRjIfuvKUbxZURqvi3Sev2q7tpsG/8BNME3q4NQOKFeHIfhLa82Y
OoSM4q+swUvVphrtOV4vHRmQ+6Gy4HQAC9tgZTWFzzYVJBxPdWRzG5LaUeEwJjY+ulNLjUeUcIdc
RomTrN3KxY4N5n/wF7DXQuTxdYTl9GmKR86e04fL2hm0tfwQ7/LZckl2DkLnvRid0cN5clQfFxK5
rmUuJadvabIb9hchylYZrq0g0U9XHDTOKsqdcNjrmjqHx8G40y/NxN37WeVdZZ36JONx+eIPy0Sw
c+tcSdwDV4jHseyvhVFBz/vjCw5KgVphszCbqyJaSp3XpDK5jsZynMlUUv5rGfqy37iNwi2wIiJn
uIV1QqoiME9eFaRFsGEauri4ntkQWis5D8NVFXmVu8H3meiAFCf5s4uDvsKSJ7LOYEzjvacQIWCc
h22lBmfzM+4G9R4VPo2CEXsq4uhaUQ+bGgvxW4/l4FTEEpS0D/PiKezKBiMfu6sQJ1n2DSrsBjZV
wz5AweY50QSQX1lGvhF94mxMTQh5F1hIaW5oWFx1Q8RJfJdYY/ap1nxRoEmjaO6LTVGPmGBfQCS3
zbL3lDkhfuEXVAmve++uTebceK7tCJhp0lyTdUGc/AvuFNXKUztHU1CIV5rjXIjxJQpi2DdNSwnN
TeFEvlkMz6D7o6kq8wJYdZq1iiUerP6Igaprk/K5oj0X3zOTsD5XdGYf/HkqxKGlPLpzHKdGuzV3
Wb6m39m+Vih72ZhiJObirYvlExvp7C1uZIMnlZjYjcDhgSZiwIsEyA4ABzKMrfFI0WyZO7QcjvSh
4RvrO6iWEY+7xvfaVxq9HCKSJk091uZdOtvplcqsadtopo21YbpKNec2aOJtIJ2LJFHNwWUQHqvZ
rDTjoo095QWWoyHjX4sLQufPlsbpWsg6EBYgu6Fr+lOHn8DlsqEJj8lYVIQSwhKurUH4W8aZ76kN
DDIGDlnhzWQ/wUjVV2nt+3fSjgVHLd6tRkN/SI3sM8GQ12nI0r+4+TUbohAOEAMUH/8kzzWw5xMF
8UvoULZ17aS3s1v5e6cyaj6wTNYZaT4IG5Gx462rwUTL6q1NEc8wSYo/mH4br6nGGRWGVifHbZwc
LXoM7uiSxD1oBDKjgN6oAmmNrku+5BqV5C51SQK8EJTOhaZkphJft9WAEQKvU3WyAw1nunZMK0S0
i+9s+9mYHWYqStq7GelHtZmW3nzy0q4rkbeBeToX4hOpD/RnhA1HiAmlpkK7CyEaxP5IXnyg8a0L
Q9oP4KSJBksp4bhc8ZvhpMPZQDP8MJveIzGy7j69kKm2o4DYSjT1N+2FXQUfsc5hVoJgdXH1OmvI
tWOms4H/5HphcQoFa9hp+Wq7NMgMDclaGpfF1xEWy9cQbdC04rplOeMp0pBtdOFtqbtgb+mXwOH6
vpW9sdl8aQ2Bf+jMHmRNx6g+kmhr+CueOoPkCtjVeI1XHlaERtUUD2NsdrdVms73jicSgLvBtDde
K0BgVU5Dni7LQyRHXtZu4N7EbhUD6fKIXSdMB9wNAA/YDm1qQnndwoGu0/B5iErpHa6t+RLIhiEf
yb3yCLoz6gLTtdS2SNluzmLpnJUa1XIVpPT8QYB675pQvMVZ1UneW8iTFh1En6bDdSMWEhdH1pF0
rUrHwyBJpuqzlfqzcT/YTuHse1762KVUcBAm90C4lVXuHYdU8SZwEJI0h6zhfG4m4IiQV6tD/VXl
dvA4TcLZVI1vtOgcZ+8UqIyFlrD2eh9UXp7eqHjOJgRNfgEKGUxPCrOmB1BN/7XB529fecwu6Zln
xrsjQuMY0KQqmVqpqVgbiN5srJYWXhmNj24gKWpxh89LXBxxj5BnPHHrb7JkDLHOzci8qoM0NxnX
DAaKwB4H0gmu1O5OXjBb5Kpciuz/buv+ZltHy0nQAvrP27rbr+P/O35V7dcfNnZ/fOyPjZ1vYxpG
9Lh0HB1mbvu0XP5kkNwPGEjYAWjOJWiPv/kTQRIfbE/4EBMUWj4sEhuyP0XamJDx40yTvzHZ8NCd
+Ac7O8QBP+2fCOGj4UO7AdDJxw7tp46PRVRZge+VOkhsu+x1qexuO0dYb54YDjJkNVHOPkZYupPp
m8T9FYV2dx/XxlDsM3wQM2w3hrwgBUQmax9TxlWoMUOrngj3ABJNSKxsTQqo0mY+0jCwnIyRQZiI
7Q094fDjZJXus1cOb7nAS4Ef9XFoQvex0w49LTsiHBTSdV7WmC7wlIUs4AJXMqXNqPrRwYclSAPx
0Ho0Zbq6M59lJoiTY5RrPZTlmB2RNHfbi/mKV/PB0fONLZZw0y1dUmhBQ4iHkMkpESOG/NZaCiyW
OoXO1YBu6wqrWUZtDoKeN3sQeFONrfZjaqkv9YnKFpqsyo+/cP2TtQG9YK5GMagrF/uzYB8IJvzr
tOivlix11r7d88GW0tyCW61xVPYKWcjPQ7o00brUrkN+0S03Xo2Jg2tJOGhCKSCpWnUF+MHRRTAS
1JlicdQmnVyPSWX3q7iTyl2xdlnZasSm9KDSgJqLIavxwsbOfURRWvBu7m1xrTDyNfejK/KnOctJ
BhiiXjwTvcLoOJtMfhq24NM5qHPj2xKPcj3ZWAWhfsNRA6+52xqCY3/5/Vr9W3Fna50qf15ZecfF
KAt0dL7nl4j+FOZQaJkHxhnsnRl9Gds2mLttuQx4bPhdYl1HgUCRu8KtPRuv8dKJ40OYi2w5eG2n
7F3s+gz2bXwdmbCEi4GOAEunxamuBuVQF3fpxckLWVht4Jm0Q+QXmLyKSf/reUM8k0hMAisvJ5LW
dUAxwSoJ7W3XfST5J39Shp0/xrWanxv2lNdBacuP6TIEu5htlYcyv7ExSO+jU9g48ed0phmYI8Y/
GTUXO/BSrDeyjok3av9hjVkYwaqL1ZZ7FxBxxaaQ6EhPsnObUrDiheJ/Hzio43Lq62+jh3sBsrSi
qFbEgk9gwhYp3DuZmh0eBTlWmWjwclwSsD0Aw3DsgSuM/hcDsm0XZe1DWGD5lCy4LOPPk2xQXoY3
hVfgcjpEYwDhIQVYQmw/0QjM9kS8GxUjLSp+fOaTIthnwmwfAV+f3S7vrwsXlDuY5nTNoIo0mBR7
kQWL4vymiEIgZzK7vF1CD2gN91eve3odxygMHAq2PlBsrPPqDrEZc0PD9nbjPLMRTxxBFkopV8h7
I7xpPOew+F63hShZjrHT6HLZGu31mLv2p4k2FsXBHDB9xX1tNU7M6gnQ4cGwMDpdM+zKdmU3TFur
6pwcz0Nmnf3YGntsTNubHlnNecL791TijnDX4au4HeKh4x/6rdljtI6L/Qoy2bnOMVHucTo3/WeM
WZObUIjofcZilCZedaVmLv1Sg+uX5IXQRRIV+yeSurxybfKZt4XyH64FP8XyEFVF89hIs0634yDi
bR/jVKP7OsunCYUk3AFo/mDXCnajrp4Mz533VuMzIbZnA32jAvoztiWDA/YdeedsrBgTWVQHLvpP
FgrBmGs0N4PnzacxrKv7eFpwJeP721dOiNf8VV1UfrvxFmQifcj+3Jg90tiyMchwTi9dXBrNpu/X
SwwtsfbLWq0p2OKPTPHMZT3lCn2sKtLT0GH9uB5oBqzM1PIY63s1+kI5TPvYjEpmggVNfXofKpmt
qyps/FuiOI2PWUbXZIW746Ij7VMMhcq8q/GQXdSdCrLs6JcAhdhALPeWhxgJpWMfvlxWlibrwm9y
KrIj1jvtxhILBjmXpwjfAfdxAvB+UiPWOQjJWVZBsyjk/Zk3jKq8cj/hg6bH7pbD4zBaD8LVByKL
ddqUZEfbSMmz5WY0x4F+1GjI8pa3/XzbYv02b6oK97G2x2dKBZiG/Ldc+l+pG2Gt7b8ql66rHpu8
n/WNv3/qzzZ48CGg04woyP49fZKR4B/VknRwp/G1PQ2UrG3x7vyfcsm2P9D4tUxmQ572ZtOWl3+U
SxY/EKQWzBrelT65FP+oXPqpES70TAbhpXC1ktIn/PDH8Uwyq7HH+5wXPHV+sElTQzyYRLpiWY1/
QNWkQYe7EqZdreGHH3HwVDjplyEC+iSkFMGgzGfqfF2Z3MG8pga9BecBCmhvfgzQgW/8uOYdVZm8
3QXSirMosXhMFSrJKY4I0MCRdFtrKzm2BiGJeQ52NURDDBvwVqXRAzViPWf8f/bOrDlOZNvCv4iO
ZErgteZBpVny8EJIbot5TiDh198P3T4nbPU5dvR9vi+OcIRdFJCVw95rfWs+cGyTD33Z698gID+0
JHkCCxUXbChqAW9pU//8BFJqW9T16/pIZQ7gDJkFe0o8wdpSarkvvvcPQ+Q/Vfh/3p++Xw81OVtg
AamVOICfr2cZptBRltVH9Fzo9qL8lRoRdvGQZ/DrK33YCS9X8hDHe3BgXTox9oc7m4GVovWWOYmk
lMotTrsU3lyScMF8PQxW7ixQifD+1xf90HB9vyigJLbxDCafXf3Pt5cKC9MYxTpYFBwfV8ayee5I
UnU3vXbZW/3zq0GMksjZfQdB9oeHGQX+mJRFmh9NMbrZpWyLeaclCaM3CDgff32tj9Le5dYgQHER
z2bDg4/551vTWZTHRSaSYxPrnFTGmNbHpmnQEfkQZFYxnvmbnu7H1QhL7zDnqO8QP7H0//p7/P0J
u3TtkYALGmjwGz+81tzsvKnoKbA1PbLmDXUR1suIk0cga9aVX1/s72PIFeZSPPTZCBPt9eE01dJX
sFUrWZfNeb6r/LYDQMUvuMYQGh+nLiFh0SuhWPzmuv/pJj3UIvQVJB1E8WFeyqJ0TCJZp4vuiAVv
4G2Odr8cFpI+/WfXWpDVwgmWtiOv1xQfVRAO+ClziIPkmND+wJ82edmq5hxwjgjUePr18/ww375f
CzXMgsf2hON+bMWnhaKkS6nrOE/zaG6gzhSnHC3ZX06r/2pb+dhFXO4JDxdpyEwyDFfr57Hay7xr
ZaUT8H5EdlH8ofy6cqaSwMSBzUicJAWGVbyvyQp7S0r2ShHFl1/f64exs9wrp3AmOlMS1yw+jh1q
2VmyQDmO4QAKqDaJ0FlFsxFdQntCGRb5VP+lPf1mPn9/hD9qTLgsB39uHMUxa+gCB/jRDDJEkmJY
6CXH2A/tT20qixNUuem6Tst439o1wTToPjTA00lH3hoG6TQcR1nqP02ZN8DJCRY7EZOEJ1QYxSlM
Qv6YU+N/YYH/9Q39p+/JwYmtAUIY6Jvyw08rc+1wnD3DOACWla/gLJx2PTQ5Vekwl6M8oBSjt4hS
0/MoWo7ZRQzWRGwdWRDHPqucc6CC8IgN3r4ODNl5OznEVUo+XuD9TkDy91HrC54m2CiXHYn8+FVF
wEGiy8fkWASCCkkW+Tqj1Nup7a9HzIdfPSMGHAyvjKKtz58f18bEsHgoRpeQH84GG+0kp/gyq9xz
DgLn4dfX+jidv19sqUi9U0/94GOhaPI7twNTxnROcWgT+eGwIUe0X2O+zoh1XQDCepzOZq+9L0ZR
IsOsXLX/3Zdwl1/iz8PVt/F7LZIwXvS7Oe/H4ZrjJ7D4ZYQHrx/b6ejlFpOpCrRdH6O+nu84fopX
d0FBJ0m/UDzrGDtJkmStT7kFijARJ+EpoDBxq4gv7lddk3IqanLVJ2DKivmSxxS7Yri593Nuh28D
LuVnf8rnCzHh1IWCppUPXgN22II+cx5awYTbFRxB3D6TDzKuxUHhrL6KkegQEFcnxqMBpvBuisKl
vkJ/7qZohXrJw0m8wp0LL51R01MIdBm+UYlx61NZNETfIrsKD1ASnI7OckzNxPYgoJERnDliharb
eUExbn4roQs+jbZdNwCuBiTOHeTUt3xQDopihe2asksaX4ADFMQJMbWY7ZCgBmfyrrrIfaMR71t4
5Nk2Ur0WPuabJIj6nYilsx8dwWYId0b3p+/11rZMG+8L2jByMsC2Mt749UfZLqsCLo+j3bjzrY65
U3S992XGwr3RCHAv3vJ/O/oCcDFc29k2yQj01kty4zGo7OnCOoM+t5nGm/fHG0rY81YZi7vabmII
sUjP4yOUU5T1lijiSxYFRb9t4O/TmH+frXoTOZ6amaF8UxtfcTIwIiuhOVTmuUlBKKl5dpPrk9fT
ChE/Ojg0PvWtQLNmRaK8tTN8MsQB8zmor+OLVLje8ZEnr60IRkS0yMWjfQCnFnqay6IAbsF+8ssB
WzjkpeJUAGZ/zaPCAoJUOS905QCr8aNBkR4mBbGYI33BtcpafSuGRt8kkzPEG2qyyddcKqam5cRr
TsLJt/YyDouxCk9+T1z0eop9RYlHm2xgzKKad0QmMZbeq4XROOUhVdcF7626ARa8a6CzmQv2OX3c
QV9PuQGa5ulI9aZjgG2x49cv8RgJpCk+o5f4Gw3hKNbVAUqRvsbNbTxKoroXMoczXSIjT0+Zn2+D
mb6mbh19gx2s2akUcUQ0zhVC4RAcnFG14G/jhCS1tjyjNVmC5fIE5WYnFi3vfOobIQ/UyMPHSHnb
Cp3rSyPL7ILDATpR6Ho3uAz2mFCIpCEtbC+S1P7iwwtZ1U5BDv1EvHtG8o8w9EyP1rLWpgQ2F+iq
WDttmYOomxzrOUiGmyQqp1NqBrs4Jkd97PGvIG+iGGCAgSBJKVhB90pPeea365g6BgptwmKsJdoP
a9OXFonOBYDHTauVvyKQSG8GxJ80lCwSqJrkSYayIE2pts454nf8QO66VuWIDJXkr2wm6iGehdwE
NbS9JIjvQZi+BrX1UvdGt00JtNtMkrhxixbdkerl52axyCP1r/P1pH1Wtb62vhY2th/bNyl/oDeU
SL2RZz4OQ3iuSi/6rABib2Nn0qc4L5iAnWWPVFjTtUxse8GfNXdmkncnY3CzzTzLq8xrJp8MVnxY
wD+WSSTqvhMpj40W41FPcNIQNqspstOTWTkop0Mj8q56N+cLVTn+Ytrj1vzkzo6902Me9miIreCs
TLO5YaPkxJtRLjojD2Q12PLoiQ7v+DBVLvuHqqv9aEUY0nTJvNnehoX0dk6m/D8B/rVEVUl9jJug
4KLsoi9tJO59dxzvPaqJgE77frusP9iHqnqI10ndFLedoofq8UvL8fEgoVtZWRWu24m9SEYhkRBT
2a2l8BKmohJgpoOzduVFgYfunKNPz/jbFGzzdsEsaA0SelWv29oqbjqhnr18bjYmuqRrp5l9kkEB
+CBGh22e7pCAEcBed5Qk08y9Fb3udtLro08qjcaz3euNSsLxlI69gGnij8FXGzQ8RhNqUxSMmSeP
ZdDGJ9K/oZhY+O8O84BvdJWyd+CIkBt3+dR622JqP5ewQHaiUMMX4jD9N0U3YgJ4YFqPVuF6n/Q4
B/Me55UBj2Okelr17MdK3RzqeQ6utdHIuzZH2EMVvV4bqvEOnKADAihMS6HO79vvteX723pMJ5IZ
bDidjrgEYTvmhDmYV7TdS7YwpQdJJA/u8rABHxbaoc3hP40dyhQwVw1yt9amyoMTLzV40G4Pti4O
iW8sjcH5pmfR3XlQe466KbuNXzXWxpcMAZmWMFnCyN2PnpHvJAHcW9g2Dvl/XXUbKUi4RWimxzBt
rAWun2zsYlg3Q2juBzw9J+p6F0n5YE013LqNmhwQbuPZV0EU0SSqZ3JJ3MbcFP5YYeUBbJfPnf/S
k5q3ZqJp1kOHJmrtg5Ok/xG6/j4eSlwk5YiShiDB6LkU2r7uBXBcMYds+8njlKsaFjmZrZlROaCW
MKDlWel9cTNJEadqojMp7j7eu9DJj5MRTN8Vx/ErZY/9nXIM7a9w/KFApEzMmk4kars0ct1rTuxL
xJvncQAwqxP9MAjleC4vY1rkt7V01Y3faX2wmy4msyLwD4WmBooDzFihy/TPVaPDS9qX/t6JhuJ1
ifOS2wxS4icncpudpGPxFrhFAqvTQ8EGyoRaUpq3z15Xfy346G3bVKgtAtoYaC5AIr4IFByQeIzO
OEb1EiLnm6BBG0IQN3iN+rMZYgwRFeJFt0+2WWF9o9QKS7WvSWGl90nqZxRNF9RO1atnlgN5ACni
kIA1kH71vJ/cKdygU1K3phi617TNmLPBkUO7C4M2i3CDOl6TuU9K9KXXfZMOZ8WVcEodv8UGFB+V
dHnMD1uVHJOU8dbIuLxot7auk9Htn4woHF6dNvG/RNi56E+Bi6IBImYfnYA7FbmH/7wsyoMhnemE
PC2gUSEH0lvM5FpkRbMx/AHIVdosQq8xM9fsotCHwseDEtlQ1bCa8OhWubb5VkofnDIVF4yC+Ya4
Y9YMlD+E8eWEg0h2l0AsV2ba6IMZjupktgCuNsqxKqazaY4eAEpaZJe5Vn90qYyLtUl1iHGJiIFc
4tl4TCCx74Ks4r2xKOxtUatTPSf9t5qz0SImyTelUfAUWj/5GlrLUKaiJC4x6UUlGMJWH6Sww+fJ
tewXw6qNNwul7FXog5xxyzldm4RO7rWjgyeyhiFy0xj+Gtb4C1F8BGsEi09sjElbC2nWxFlzL21S
B5EWTrS3OIeFDKriWbilWAnfuPcGbHapVxLn7fk7B33Wqi1hAjkZRhbN5gTIJu4Ns2wjcpFob5U2
LFIQ2a8ZTYpybXBOhlyF/3eC8W9pw9r1cvyuQBHtOcs76waNxS4zfW+dFfJkdYW7NslaXBXuEsEZ
RGsw6AYxiwxnkWqgsm6x72fzZa754Ljq/b01NdmqKKZ8j7dMPzTSitdW70cXUimR1qPKaOaiXMlh
sE4Jhd1tRzXrlLRTfggE5QFLD8Q01C2oRyJxXjNl4vqyHVYdNkIn2FgODLqk2eF57K4E1varzNT7
jNjgFXnMQMonLTeKJKURFTcJW1oe3Jb4CFEMRGo2JOT0Pv4WtoK32uwEwqO03vkKMAo0ym1tVPPe
lMkCewu+tpNR7NoJb6eqqR3M6ETglN3hMH1JpLOrCBpinxJcg8MiHbH5MhbzTU9Gh6rkU92GF6Zc
CkZ5goyknd/SJno2g+AeeOW+Zje9LtP8JRDJuJ+xutK/DV5NV3TruY36TQDm4QmaPSmzlfWqA5ON
FdljGz+2jrls1QYxwy7tawSbHsbXSH4rhqDGpEZVG9c/JwKsuf2n2Z6/6SGB0duj0SVpYlxPwRR9
EnW3INrpKJ2QO2OInSa8lIm9N+lRNslnMn06Wr7xlds8CX/o0VE3wTbukgfPjmIg8QE6hWboPxtW
62/1iC6dLmd71fetcUCEufzMJ3ECh+l9lh05FUnRSJ94DZJakkZSHh3T5ThB0p/eV6PJFhpJ5xID
gS+XoHej3cWFvsdSEvwpJGKjk1HnFHQI4+zoSFsDbc4zYsGO/j9eJn2bW+3yeVaTEQVM0ZkAEEDq
6hhhWgtQK2ao5ahqOqmiH5fjJO6imPYt+6EDKgKPyNdeecmmM6rF/xlQNJXdyJFzUWG0JNp/8aMs
xBQs+QFyVVoMLpLRlq0IBynItRXHoohh329I3yZpJlp6GlNFb44sR2MbGg1njAorVQr0+LphjXuG
2TFdDId+NxBA+MRTI8V1arjEk6olG6LoPaalcWm9leZyOjETPXxPZ3LAUjmZV4K+Po7olriejFiO
qDAockeOZ96bnau20m05iSBYE69VNUr3ouJFJmAHirTQ2K27T8RJs3XIDUmL3yR5hr09H23IEhdo
xQEdNRuOBM/0OF8Bg/wq88LaJC3bv5UT17duCxTSHMpjuShKZpb8o5Wh5kg6OzzZsUtRoOOQ7/ce
NYKlU/N+vaF2jO2E0PYYSsKoOCcMe0Fyyef3fxL4BfQyybH/PRcMZcF8gDdcv3SF4gymW4sqAV7S
m5E8a1gIYun1zKV8CDIeZtICZBOxanbvheI6x4RoaeyLfUbdOC/wSK6SBPC0EfAVixg1C6lJ5V4W
QPyrRHEDSconMo+glaHwQss9x/fYC956mSHKCEfdHlu3JLgA4+huNmKCVrKeHLd6mtRaC+7LKaiF
1y7HvmaAv7B2p7TZs1XjbN/3udduhizEp57MVEUoXjIZ9CanEwGyrcKfRnZ2KIqC8Y9//yqoovqF
4h/ZqllKRdGfz0HbdhZMvoCUI9YOEHVlNFc7lY0jvXiMsNeuObrnKp3pkM0uxatwRrWxjDuDJKDd
AB+E7f+Smtfm812sOuJnBqjcfL+4Dt8MZAtLsKEz3+X98kzyni6byV95V/q68kiYeVesOBjZL1Zp
lnv6zX+1f70JQPmcj7SO4R3spMMIUI7gs0k45wPzVD5EVmAQXkF7uaZTjRu19je69MRnInvmHYJN
dDBLl7uuFE/LJL8C6p3tTRes4IydGWzJBjOd+BzDgUo3mcpAiXeM+9hge03CCxk774Un07DCt9nE
5zWkQCCIxKDDiGzjhVJiaSMZsoYnPK3mVWCO4WmIw+oljElxmLAGkGoc8xN27J7eJGHZp7A2q5fM
69DQN9rAsdYNuUBkmYfmPYcD7rDEUdOD7osydsBIPfdBiSSHc0v7iRxJ/kEh8uyEf3i+DB15a2Om
wGYuP1iry+I/i7moXxo/4dK674ZTrqbwqCi5ogcAp/EyTyjABBU51fD/gjbJQNb4r73bDaS0JRw9
VP2txG+5DmjmwXBow5NQvB2lQn7sml9g2E8BFQtAJ2pRcUWVnC42JfBLXRA/1eKFI65WzuY5ByN7
U9oyPLm5zTdXnHzcTcl0uBeI8roVbVEAC5Sq12NNac6tXUoKruNArPfxQqzGoGeUeLN4jURK3Jj0
jQpJbR0AQW9dAsU5nWKYYH4MHJ4UKD7jkTDf8M0jTLhYBWoZg61AB+QRrgPeA/s1+4BpPhjeEhPo
exz7AEwP333JOXnNAUN/7qpEf9WDTxeqY0PeUkqto23MtoKVkWC6K7Mbyut4VD1e9dH/sx6c8C2p
NGYrN84n8h9YmZxkbHaT602kQJeMgCFowi+pXBLKOsiRpNNWFLg3eZ38K47u/3Whv9GFLk5kmpn/
XRf68J7fs3lhI/7yo+Xvr//4l9YhwKMH9w2rbACHziH06t9aB7pqfwhMhTaHa/RU70G4/5KGun8g
jrBoFEFsdiiV/Vvq4Fh/ECKLNlSicmC3+M88f2Ta/lxpJxOVRiY0K4Tn7M6QVf7cGAoEcXxh2Bhn
OlbDHVm2MHyc1j0W+YzXvu67jaB2dW/nEnt45ZAGDjv/SHcdLVtWYa8ifudsdxZEhEb5B5g1g0uk
dFpy3DVTVIJlvM1UdB/V9oEyEOGc4HjWrDDPY5/djhZYfvxqPudknOWmBIAadk6wCgrcDx1HCNjE
hL09YFwh07u2QE7aUXGNHbh7RMlHVIqHoGrq2/xPqJ0rArieUvxXYDkQi4f9HRtLdZ9W0t03o0sh
zk774j7hUHuqar85T5jIaPk1RbYfgGmAfCr11YR89FhEutimJJuzFw2Dnep6IPDIVSUSPiGuW2lY
oPWwmW0GrWvSgXRjYw8R5XSYRSu2nKk5gbuNeyVa/4Aa8B4CFNJ7FZiXIjPP1D0h7mJPXEW+srYZ
ddhV0/jhTom6WDNgqi0JdO2qibKRM2mzZgJv17ys4oxUPtt5ruGdCtxY6xC01ap3vHqnrQi5mi5t
0127HQE1WT4/NC4BDuMUP5M+ZD2NhStJhvOGL6VZWcCNmmAjJrsKr2t8GQJ8dZwQtdmwzojzUAL4
fkADm2X9Nhkr3/iW5dr0ZqqEvUFlTXYp6Spl1XH2c9knwG9gHaCymk73jV361wH2F4NaT4Ozol00
h/vC6toDyge9BzVKpgauTe9GF6W6N6BiEAaQGEWs2D919oCRM3Gv8L0hGTPBV28JQYXaRUeHykEK
M/ramBK7NjZGoVGK7StMT217qdI8MWJkhxWqBXC/9tB5ZMwNGpj4CTwKTs8vlRW6RK4B0IVixBRt
pMzs7BbT8S5UWbEvGzje0Y3tzcMw7gJWYAhTzly3iugPCgPyCThUJx6MYSJod2sEbNHY10VFr62d
QDZANgxCzMoV+sK6PtXNjup52a/NXJif0MrqOzx+c8GJgPLszkrMtFpnRqQ3ieliUjDQswbbZBqM
5zhzk2xjzR4xHkoW+oKmU/irMmiIm4maGbuCFd6XeUzCLTMJnGrcmfFz6EJ0ujbSyTLXRT2Jm3kY
5bDL6VKFa3wEEENMBQeGI0l8wGtkbJOZc9R69PvpgTYBBBCbUL1PGeUIqjyNtL9itIJjHBXRTRNP
zY1sEp/aVQ17PDapifMFxIUaIAmFUSOw8uXzIZnK+lZ2bfkc6IaMHZAdSy7NlHY56AZWMhQ4IVtI
GRKg6Rks11R7s1WktLvIttW8Eib2UDXMWQF/xVaAn4fYYv3s1H0/eOVt49fR3sPVF5uDexOkQ/QY
5rU+12QDuauGJNUv77P8/y+Iv1kQkS04rB7/fUG8vCTl9x9Xwr/+x18roZR/BKS9O7BJaZizIaOh
/i+PhPkH3m70CS5eDAo5LHf/Wgi9PxwX7wS4TMEZyhJoD/8S/TnoAV3CDmgTmwEdcvSA/8Aj8bHL
TnudCjKfw5qL+11+EEhMhIEyuBZJXbidgq07Xfz05oen8XuRG+KWZR+wuDAWKRjSwp+XWjQVS7UE
wf8Q2qtsBrw0YWyQPNJ/P/P/w1WWG/3Bxc9ipTWQMSI8y6+d8bXS35X7Gw3d35/VzzfyQWzlJZVD
LZtLkGDpiTtC4Zv59dd3sXzEjwIAfCrwd12JqpME1r/RGiX21HIw/PYwOn6zGgyqfAnK6KJo9m5M
k/DXV/vbDb1fDeIg/gFXQgr++Zl52tUKAyPxaFXEYZ1++SopgD3mUZ1v/vmlkB2CVXcJd6aQ/fOl
RCdrzemOG4v96FGnDpitdDAvQkE/+/WlPkqNlmdo0h7lvB5gSQo+vCYzc8WU21yqbMv+KstVdpBt
Oq1DPYNxZH+zr4Zo+qdjg4vCHjbBypC/TUjIz/fnJqFpQRXsDlPGU7ToSaxkSzU/hHf0m/v7KOda
7s+ykHItsj/J1vrnS2W2Uc81CLFDMcV2uMpDgzjkxk+PmYXlH5J4c1tPpl6xC4ovfa71b66/jIqP
Y5R8zUVW5S9T04dRM0VOHQNL7A5+YeitLLlB2YxPv36Jy018vAhYJOEv+kaBBujnm9RmpSYVWO1B
qcbce2M8LvhHO7zOLTEf5old6NBD9qvAj+1+fen/NH5sjiUWaCfW4mXy/3EmCVxHm5FlQ/Ids4le
hKsicBuTt/YMQXgBNVeX+FyirX59WYLm//7rxw7vcLMWi4JpfhRgd7lByMnQtEQOl+03oGhiJNh9
tIB/Meu40IfuicugkpD3lKs60e90Z/MKqP7vJz2M+6Ru22f8Cra5pqSVblrl3VluMbgb6rLjVdDK
hEo5uDBb6WFnknf/kAhrMSwVfcqZhrayl3rpuZMDUpOKxpkPHMn3OzbI5nDo05YtehMLqrIYbDPD
iy95XU8khJBbJxMQVbLtKY2J3DsLQCVopbySyr87xRciRSW1jBwIg0AkEBsucQrLxhFvlso30DL6
qz4o5ifCoHMgkbG1Tr3mmySmF91dYW99oxk2nTcXe8fqrpzMUk+6nJy7MezNvUH/dlvZbUrJT5CA
2pvOrsuYQz1dmxefbtc2tR0NnlMP97an+BCKI1feDLeRoENrovffmZeQnf8BSCnVHaLt7sJ0GL8F
ivCKAQgcfY9QMwwGoCLEmH0fSxl+jmtUzRsSzecnhHquTZaE+b1t9QI17Bz1ZjSOjtc6zdVzYCV+
jCRZOXfDIPig5QGjaL5UtKxwtKglzmZyJUSBUJEQSs9vlTgE/bCn9eo13y+jfak8zMupARPR+a46
DM3jpPo/01k/ObP1PSgD94u24CU5vZF8Vhk2GjEhgli1MT+kcnS+L9XhANtIMx/ShhkjReimKaHP
6rkXfF6h+R6p9rJTEbjdc7IM/Vw33rnw+5jq1BhubbeFq4KZ+W7MrfQYlfawCdq63QFkEHtIGDB8
WXCidUAWIuzgSVCUzv3o5CJgOdBY4ALWLNdNk6o9NpjskLrp8MA5s39QJJfRdwk6BgZpE3d5hDVc
5GF2QuJJ0INR9dsBFeWNH/A4V41thpsCXcOGY753rcYgTY+4fIpdnTdgQ6G+Ee/at1QGIWlECNUS
8ZCWfaZXS37ZjZWTVhlHkdibnHhfSX4EoqMtI7y2xgC9RRYj71owCT0uvdC5meLW2kzRJNcagNtp
qtvmqiGC9p7Eu+Eog1rehoZt7HH127eeWURXGDmfSaijVgh2Ae+6OwiUSDTjjk2Lhavvda7XWRKH
rwo1HgiYEfOUTRThvkIa9eakmf9GqxebGmTLc0sm6mtMeWMb9Y1Dhg+0s63RqQBtRLA8j1Bk8BBm
/WfOyStdd4POAUmi2zM7czqQl2hd5VHkPFJHJ3V08gn1sA3X3Pte2e7d0Rk/+1Y4QPFw4ztRNOIw
JFYuN06vKXF7yYBogQrSNzPr1Kkp+uK6x1D60tp2eSn7KLiB82E/UhBHXwULxYBgiAlpBC53a2Na
2sG78KEIt+XLFLvjXTtN+lansbrWXSOvTE1pmcO5e85qOhJm4w5rIpvkQw2BYqMQSh+oNvsDwFCL
CzTmMnnlVqju2plk1RUU4cxbleC4N2hhK3BBo3hzEqkw8XLGf2jaIeX4KLuDOTAJZUbR7RkaCPlI
/drVU93tVTUSCtTVSbdhQwlHQTjNOR8luIu4auLHmepntMLMy2e6YSw3aeDBWaERfOLbRo8WOeen
KZuaMzoa8ulc4LXrVJaCfJIipYbEYWEHbkCijouCo9sF9Auoq29rsWCL4gyGJu48xgQdc1o+gVBb
MmTa4/92WGIyTHe4940tdZ4Qfo7Ig/UQKp6DrtjgWHQMbsHoEfPbKMU0NmR3eeUg/kjFtFbMAl+T
JJi31eB5B2JEhu+eoBFhocA+v/cPxioh0tRHcPzSZZX5Ct0G8V1OHfutw7T5PHUaIaMpaP4s7Qar
lO4DtBw6bBp5INwMb+kI4e5598MOPpa0LWP4PXrL3zhgg1EpLZdEB0eXkY7ksCYUmDq2nS9N5kx1
nzytug11YP4p/HyO6GBoLu+tLauLrHsUEpSBnbh6HpKi2KsAMy7dqZCjvClYq0WxHiGUYmlcCt9V
/0KRUh19T/ocsfvU3fhhJpblHU/x1A7XAQIMOjcxJtfWDJILQbnDxTRUFKxQjulDhc7Fgndq2ke4
HQNx9P5QnNLOpC7uVVL1i14EL3NZ84WFlvMhSGibmboTn99Vi4mzdCnfrU1u7ZfsZySF/LnuuWxC
w/CkZ5KozZbmDuAE47FOJPYGQ/PqfXvGeuTREuxzO/7zvTuSLZ2bopXuOTQB0UZysRg2ERbChv3m
noNoe6Q+lD2PAYyksmzoyTUSBy+BUuiB6LIBa6aXuix2XYAayEjpK1L+oxdl0kaoAqRJMf3VW7ud
nBezaPJtWTPAgXFgUWZErzE0qC1aqvJ7yhp+RAPZPXaZnJ8ZSNEtHOLoRqV98FCmSJpgz9IVauty
77e2/Kw4i6oVCerhVT6WbMXfuyBWaOhbpbL5bjbE8J0inPFUQA+mm6lSc+Mb8q/3lCkdvk2CL6sd
Gyu2U5vX9AaNxyjMmGTsRWUDh3xruDr5UvYQl4Nq0DsDMtcnu5+cT0NrOJ9St56uWankLm5iYzMl
CfW02qGfHobVZY6M9r6Ki3JLQmRBAc7W+JZ56spFpVp1vn9jLdFPZVmx8HXp2W3REzZVTB5XD+YH
bqTYafKIzh56om255FoXk7JJYitMWqfC4UdMMPqpp6d0E/pmdET+igTpfSzPvoni3XB89hW+c54J
47n2ujLcIumJ1qYDE2hFDyS7EU1aHCUqi89BCNpJhdhMiGhiMYQgwuufMe9lXTWTl0kzOBoDu1gj
2o+ZAs2lRYf8N5v0NZPCdLTqsLzx2nnGT44vnJ5aPT0LdO7uqpzHdDv3U0cDOiO7PMDd34OsviGS
CT6KTSPY6Qv66eMMTQ1uM2nWtb5pvI6l24uh6HkEMWNwmwuPkp7ZhsnKN+Ngy9o0HOF5wysJnQ4x
mMpLE1x+WT32uDJ2PRMOeyDEUWfTsdRNQwsdCYAccAjSzJxGsz416Kl3WN8MCslZaTx2QtBtgl3E
jtmxyXcf6IiLiGgOCrR1Ckts8Sn5A/BYwCx05ICOPgtkB9uipktrB4n5+i4MdgrEns44ileQ7TQT
gdfaVHoX/TwKyi0FSwvFF9r3NvO8k6QovvXV1BJsZtE2tKcB0XgRSDgqEOqZ6UrwBXdCIg2CdJPT
Rw35y6NjNJFaUWkdrnpyDChrZ85tasO+Ie+vCQ8dUXP7RNjzEYiN3I9EBSx3dOPF2lrTCIyvzTkh
gbhPigdLZ+0WHSfo9BpkMmd71a5sd7K+TuXkA64omwd7sDGOZIlxRj1228MFXJEPFcPJMb77jfJ2
plN+tntkYXk6hVfcRrbJwQ6zoYu6duf77bitaEnuwxANVcm+5IwQvsUq0Qhvyw4xRrTlEqsVT7cW
fTnS4GXxzSuNb/S/b7TV2TtLj8Wyb2uOMIaslTcnjyPZMOvWNyLor6S6KWNY00YqNxGaVjRh/mej
pA2g0gWWkJDHu/HHKILdhPhG+Aq9qUvSbe7V3C88Kxz0vSUdZmzkcnV4qcs4WmcE021lkuNyqoiZ
3s9zGn+N+sE9ZNpE9j71ethqf64eajyiM2wr0SAst2ICE2R9W5ZZ/RmsfwkRYiogDNUI0wYPt4SJ
ZHyTQ2M49sM0n6wkyPYE4/UHgxI2IrmocW4dv51v00i2D3VEQR81rIcWTi/Z0LOUW+21IbyEmIxe
4ht3Q5NRjRN5coJfOCE2Uc1r0M7F2QwMG41D7gbtZqwiKAs7v9dZdu7KV7b35hfNcfxiBj2ofFjB
1d3QpAR8WVU/3oYzRF01obhIDfKKlY882CqIS0LHYyBUalve4gaG06sDvmBcD/E83TimSu9KF9h7
jz34i2zZX620GVvXkx+oL2APvVMG6exTOHkiXJC69rNYVkhpFjXyDz+mL1P2/8PemSzHzWzX+lUc
nuMEgEQ78KRaFFkiRYqNyAmC6tADmeiBp78f+B/fKxVpVsjjO7AjfHykErrMnXuv9a3LOPGsT3HR
tI8Q+uxgbNVwkdtRfzloU/a9tZbU3tjg4TJ8DD/3rix+FI0LcN4xLOKy0go8F3TFCyMzrWPdcgJ3
8M4y+O9Li7NuY3XbSWute1G6YPlD20DTARvrqtKmn1nvel/Nyi0RuM4e4JZ83mFcSNdpz2iBGm9m
K4wL1IudNg4bZ6pZydI8DVLZQ/gGV8PjZbe9mDhVYKkSMxgUbxM1ct6Ao7rTcjRaBEeAgElbuvu6
tyl9NFyZIR9BuYhN5qBxWOH/VmDxqIz3le8Ud1VWVMd2zs1DXaNmpJ4v0ApD+cqk12mBaAatCDgu
OdrPCYgF5CfGkxBFvIdWI8aTc6e35xQzrEjGCO9RBrRHNsX8M6Vi+jIaorpPVaa+yk6O7l5q0LDg
8KuEiV+1hMoRBGlymGrLG0sYQ7l+nddntUOEbVcP6UVvdj9BbaBno7N7HH2vvBRUtt9LSXjcFC5c
Bi27mqsexmEDwn/fIr9fo5CqjlkvgWyAvWqvaARGV6A/nFVq5Wmz9TxbIX538GrUqXnL9/+jLXUg
Kexp/qqD34VysJ0viMLrPmcYi0GU5/HDWDeCjcs1tkZZhDeNFNU32mDPVtoMzzgEvsyE81o7Fw3C
RkN+sE/VzMouNbHmU8u/wL0GeYpXor619bwp1qGDpD3u9B1zLoI4eOOhx1XWPo4d92hm5IKusrpz
DzExegGRktE35BgN+kG9WtlCA9kZje4dRx32E9w6z2FB2KKM/EdrtIZLXRrmnr/FxECq2i9WYv1w
c0AiPU0tHN5hv+uBWBD4K6b0k09uzb6HswP8C/4MyNKRiHqfmyJC99HtY+suIfYAgeEyDquZ/Q4l
NdUUO/7O1myyRGLzM2eQBxbk7HqUs3OhsFus2qF1tjIvw5fKz+Z1jkiENqFIrxwSZEGVaZxiIAKN
AZRZxqz9UN6WcDapcDX6zUV7aL2puAkTzfnsKj2Cm+qYV0bci19GVJbrKh3ktu6S6CIs4+66tMf4
mNuZ/cWSyPxx9cyh1j2lJZDNOGv2BcvttpcCkGE76jdh2DkB8SfdugKGtJ8g331pWXFX3Qhaz/d7
fV/n3V3UEQg5gpK/EFE17duhfo790g3SKGbHohC8YCHVgkL4/ZFSziUtBAFzE6mM+rcqf3VAdJIN
0I5vAiPcU+O1HYrYCNfVt0pPU/3SkF146RHTtKFbMvCyNeZdZ2rjtNYIlPavkryOzHVVKjWuRF1J
e6dK2shrL66Rmk51flcWxJMX9uTv42RxttLCusMS9HMcMdzoM6VKrUR9oRNO5NqcGuwczQBFFYck
hbp2NpCSFYlvgPc0Ag2R9gXfvw0ryXkoUJevrbCKAqrCfEO743tjQnep9ClE8sv+Og1D0I3Oi8sR
ZEzno13rN9RQDp0z2kRa5xnfwfoPl1Zli62jBI2UrKyvo9AIel8Lf8XASD7bumbeNKP/S42W9hDx
6d2TI1XHG7upFFqxegw3jccQn7ycak9YSge0VZUbp40Ir8Kgd8a0+7YLajJ10tmgaXGD0GP09Xv/
VTS+U7kJ/VdXpfmFUfT3DhLMIHI43foujfyP+67vDUHQlGA2JTuciO+TTnNUK91AIMvPNa19p0y1
5wQArDJ09TPjljcu06VzD7WaXD+Ge3CdTzvL8/zvprYzL3kur036Kex+jC1Neo28aQyECEAdb9Zf
4nA5UQ704z6+3Pe694hrENIgtLG8N9MDV7Qz5rgao1pk3djwRD/JiD7px7/y3k3lES49bJ3B5ylu
wsKk2VkFM5jXcUhPPu3a8qdxZVipPPP83rsgCyUdeiFac7j2/3xdsrEr4UAPTJYGBdd2qJ4dr3r+
+HLO/cbJdCexW9Pha60Dw2wJc6/3llecs4CfKJLIaAMNRTIiD4fXAwben9fh+6k31GZbB5IN7FPU
6eaFWZV0y/sh+RprjFrQ7OpkVNNrhQGpH3C0nxvtvP30BJQO+qh8fz7nl5PRjkW4lCAGQQWRQR5t
C5l5PRiZOuYk8Rww25Sbv72v/J5L5iiLKXCS029PUVt5kMdUUJQjq5Qz3QBXds+sJ2/fRcEM3QZr
Q7oCzpGTD9yPkFPUWa6ChHwNaKtVssZkd3RJMTvzKr7zS1yEZ5PIaGD0dU9eE79JknmavIpsBQ8Z
r9ZcEnp/J+v04ePb9s5jIqXD1A2eFSuXtUywfpt1O7LISLtxq2BO9G2dv2ge8YVZuSiQz+QHviXQ
e0sgyP/7qZNhIwdVZ7Ey4p3tfbp3pRWtisH9J+Acj3IPDGxCPLcH/R/WG2W13kavEWk61K3bdjbb
bcoIaG82nKWLWtAFKywU0LaXyotWjDivhnj+FOYUg5YCo/iq0Ke4are52abthdvn49VQdbSxJkAW
a87aAJ+dZD5zodYSt/LnwJFRJs19nQ/AwMx58vnl+awJn0QQPOlx+4gOT78yeu92cpzkpZg796LL
c4YoOdJc4C87QoOW5Hfn4GCUTWzGM4aS8Ma6+yKkOmqdGCFgcSsH79MccrosqkxtG1xTK5UIF791
KjAmDBWi5d50L7RU69ajVVkBA65h07aY1vmddMM53j1mFlqGNEMfNbJeb/xoWM8umimLK/S3XmSC
0PXnRv/mLkrnv37XWJfQSZJ46LHvn7xrYdErxrAT9yXVmmNv+OLAUx+DKK1xjY2hGIKPf/Dt5FcI
mB2WjaUVpNXp5BeTHtIzWVSB77VQw0ke3SrgskdHyHYfelF7jOm/3EF/j/5hm/2PFI53Pl/G2vqS
NoFm5Y34oo6QncWdU2Knn6avvUOeNior4w5yS/rzry+SKS+rEQce/ud0hs5whKJz6sqg6Gtaozgc
a3o2qE7xXtYHp8kSb90wZZtWg0nn7uMff+c6qauImNERgSMlOHnVXbLVOXuWZdAsuUhqKO+iBX7i
pVP912WAtSxSZMaiaiFA9GRB5CDYRMhhl8Qd73GaymFjeqjh6lyIv35NKTcQTCGMQobxBqAiSWHo
or7LGS52w2Z26L6I9HoYbMCOmfPjb2+gpQsuzEQrzSjpdNuKklyWVq64LLsQgSansmKQQGO3yUV2
DvH0drHnxyhtKA1splqn25diQBw7XcGVadZdLLRH/No/0lHcoZA/U4Ms3/KfayA/hT7H4dJY81/x
JL/tK4WI0S1qTGPx6W8FDRO/svOVm/cz5H3srfAIz7wg7//iq+Z7EcCdMrs0S7oehI4sUEZPmJ18
qSbjTtSZwv7ikGramce/f3QU3kBWqDr4xZM30gY/Bo7CzQKt6y6mvA/ID7pOHP3Mz7wtGC3Qw2hk
ACBTfZwqq3pPH5OEvzroNXMhpAA+lyM74scX83ap5FcMnWIDtpHzhlqDZXQs09TIglpwrOW4h8mi
++WWzk2qWqZq3rwWU3VmlTTf7pT8KgsHhi+yqt4AgMJixhIXo6rybcAuQ04aKhFS8ChHn1HdXDLJ
aibyXFY4yLN4TbSIpPetu/t2VNEhZ5i0GyiL5slWtzhTwO1ISXGwlAVqceWhjXHufRPqERb5f/Mr
/8c1/t0HAwmLw4+Bifb0wTCXjHPam3lAi6rcppOfXmgjzY6PH8zbFZZbhK7S9XEXIH88KTkLS7GN
RFUelK0LYb3qAz0z7jz3XLzzu1fjO9S2rEPOG7617eailKpkIRqlYJodxofR0cfdx1fz3grkUALA
I+JQzr37s9yc4fiR/qxlKAiwePYu2xSOeExmTf4NA9vfV9GcGW0DDJa7QANPT6jAYBxSIfhEpyz8
sdy7OnFuijp8/Piq3vt4lmAlF0kuB4NTjtXYZKUxV3w8eWJ7n7OJuEQjtH/Qca12dWR734cc5Bwq
lubMVvXemoeQ1KKuRjL45tBD/0SPhdVnQUS4SVtqWAqjnUwfZDp/Ybk+82vvvSIce0xe9sVTc3o3
oQOhI4PlEchIQkomgv1mMMEUfHwz3wDMAALq3ETXZDsSyJxP1lW/M8fOpu8WeN2gPySxXu00FMdY
YkSf06B3h/vU8Kp1V7X9tZrK7MrOXbGPPYRdM65upkup3BgK6AqGRYayXZeeO92+mnpO9zfP5YTN
lwnc87TwqcNGt4eiYLcZLXqFrXoxWhjmSEuaQ+J6jx0w67UrYzqZpUgeMtw2h9CvnmPGurOz4AiG
wjrQRfJXzqRJYnW4jo9v5DvfGoMtSlDA+MB2TjfE3OXfkIyU20M5/5Cz0e50iaIqzBliTy8f/9Y7
L6LxKjS0F8UqVfef37UJjkknCpnSPjR+6DQcNoCyX5opLwPXL1Ncy057psJ456MzDNr2VDTsWG9K
bNL/prGOKi4vtb/GSQSeitE9zcx6XglwBfeqHtSGkWwf/P21Au0kd5DKxniT/WjhVEngw1cBZ7Ur
TO818tz8BllyBOohepg8OzpT2rz3JCnZaAMQ4uazlJ3cXYeRQ2OpKtD0SK3J8mE0WYr2ZoACFBQO
B+mPr/CdPYcLpIYSbGwUiydfYBHWVpxU3Nqxj5BwWzXJuapSG4Es7n/zUz44GM+hYPRON1HpWklb
lBzRDL8qPxPaBL7AJVk+6QzjzPL13jsq+KAWH8IieT55R3t0MeVMZyBoiu4OzNVP21Z3ecPzSyJ1
40F5+evDEQsYpgsTMic68tMP0BhpuJvNXAazOSP0cYfbuqs3kj7AmR96Z2FGWwyYU9B5xsaxPM/f
im05Y1/XQ46AeWQ/RuO492Z1d+aVEPwdJwveH79x8k742LtSy+I3UPUaS4qCvGjsxr41OweqWj40
3EUd89FQS/CbaXRfDTVmPZuBDeD7jOZfhySKMPJ1ZeEL1KCM42oDD5KIFuy7ZcU3ph+RCzNhWQ6l
Xu6LBoUGp9tpjRYOh5PtodbWR9z7xoL3IxXHuJ3xsT3opQFgqiqaeq8TiuFzgBqja4JfqA6rhZZC
rth1PLrx3qib6ZBDUAA2Hxefeq3uAy/z75Iqa9bc4WxX0CuqVzFqoQCFUrGqhlluwy62UQySvVBZ
IgH7l3a7j2/ve+8mu7hr8J6QaHK6fsICU4S28m6iFXxRY/viER5rCW1Hhj2UCdLOPv69975wam6K
Pdr3KONPvgU7nkoloqkMiP5aek5Xg5kdhrY8U7y+9RcsCHAU/tQmtOn8k5+BwBWLevTLACXpjZRJ
jXDI+66yeyZRn5hKrzvbfI7q8syRSbz/u3RpuaMcrk8LMl/ChZSDTU+kmuav8ajjEqot7Qa1u55v
GZxzxlF2AaAn69UmJ9ySCVfJQq7M/mAj9bXTQTsIvdN2RkuweYg6jBdO7jF+MMby02+2QaDZMKIH
gtEWbfyWcN+E1L1NZIRfzAywjTfbagUKwMJuOeNXT/n3wEKSPxF+G5/T1zCsEU86ji7+82K213HT
plsXmM+DEva5R/HeE3cgsoN9p80gjOWW/bZGJJgKC9LpywCi5sQAYTUNOtkW2Ik/frPeW4t++53T
wqiXfZFXcCADz16Sl+g3rIkG3X78I+9tiA74WuYKzNvAdP95MboyZaXgGAYMnbz1tHj4dXLqMhIo
4mY6Yzp798foV3JmIVr6Tdnr1CxGZc63osUOYaSQhMDf7ZCBIahskzO3772FwKHtz26BZe9N8ZtP
k3BSpBSE09Q3EEKdNeiwxyqvf7YJ5q3YOXMn3yZZwzh3OSVxgMVL5Z7OaeZG5txf6rR0zMFrzaZx
4c31cDDpxW8qoZGwLBUIFOmL20QP42CKUDZHVVJ+8iKPIJbKmu5dfAFotMMIZ+rHT/q915bnLGgj
0b/1TxfGYQwbLYspcwYlfwo/eojN/ksuGCb/L37H9TgpcvxdfDN/vlFNr02xRJQTcBKVdHPal3LS
hk3V1Wc20vfK1oX1Totl+V/uyXcoBh8ZNwKsoEU4Hjfo3Ibypq5sguWM67xSd0Xun2mzvPcC//aT
p0TidLZyhDp6EZA7vCf28adv5ShcnYu66s+cOd7EZHF4g9m7ZCBTPnIWPmkIt4NnyXl0C5YZc3pu
Y/kLSK6zhg3nrWnfRusFmEOosF5uE7UIjjVjkWfVKH9g/T1aNFUeQwXmsTORLWNtwWwQt/WXaPbh
4Zd5Tnht4+1Gd/AePJtVE8Jjg2pCa0aic5fWZmX+0gcylFwAQaPUn9Oqu8KTKLekBf5MvH5YFZNI
tl0xmV/ISLfZ7HE5f/w2vfcV+4tTlxYH7+3pADbPZdOUiJSDWc6HuZ2NVatbj7a0L+mZPrbJdC7w
/b1HvNgzcAy6NFtPb7tMjWhSFENBooDw9LKr5e4V1yMiaHOrZhGm/vUlsq8vbmOCSajcT84kvjN5
MLhEHoAttrZxPTmfypgKbUqr5jEluIBE6/jbx7/5qtc4KULR3pjcVD5RjrYnb1ekTTmT2bwInGL2
1/HQOV+s2OjXpSBuKq7y/AEoKTAgC8nWq07Zi+EhFR0pNi1aor02wLc986yNd5qYqBLo+iyrtvvm
7BuN9izDni+6mUP0bCKydqjSxK4J62ZPCIFY8aYgn7LhAkd1vJ6YySC/ts6x+cU7a+XiC0eOQYgE
g7aTNUxHGuEUZFbhW07hir2KmxMBCwqBZWlf8rjcQ5siScRnAbYzp4lsaAVzVABb/edBDPpumkL4
S6+BK+2sf6UsLvfEm73aJrIdyh57jy7354QikyW731pOGm8RDFqbWivbIHaUux3jzt140aVZZeJL
Jsrxms8WJ8rEh/AYe51/kevukw4l88zB/L3rZwKGB91dJvSnjSPabWnetILrz7PxC9xuBGnOmDwm
hhbvPn4T3/sp1JdoDXCjs22cFCAMnQjoWLYlqNzxRipvsfSMpKj5cR49fvxbr8/t9K1fur+C0yvb
4Onxv9ScvBuKhMNBD51uBd1hwvExW8aeqKse6HhuXBqVHn5uR3O4Mk0tujFbzV9bIpd7WcI3e/0H
/X98wxl8g0kLi5X+/6IENi/ty38Qdpa009VL8fO//vPTCzzLl/LH7wSHf/+h/065tJdwpmUwrHOc
pDnAQv7fBAf/X1Qf6I4YzS19fl65fxMchP8vJry82b61lO6/ExyE+y9qCY5XNFstl91Q/A3B4XQX
IfjJoU1OCpSOjOaNib/UceUWMbGCbmTYM5EeVnlknjvdF4Q4o3a2z2EQls/k9zebH3QJJ2DH4l/+
tqMMBzkmcd2ZgnGk3NW1HoOPMyT73x7C53/+vv9AHPiZorNt/us/T0+D/Aqq3MXEb7M0vtkcWyZ1
vbLjMZhaLA+DOaqbrKrJRnItudW1AY5KQ4vLUql22wzueP/xzxOK9OYyaVMuKCrLM3nGp8dgMhTA
v01uGxChm48AwYmBy90YPyRCieNoxvXFiFS32SOGBustoUYvVOaESqlhyvoFsLURrSrwsxya4wT8
o4EvwZuHbDeZGf9dLCBFsRa5NverUeIQxE7YAH1Ddzv9orOQ3YrUg2yOJyGILYyQoesoENS2+oql
cNovcQjJSkbGRMdDsbataLjOga5G4w5NnryqQfre4XfGViUwjA9OI1+8okh0xN799CtuuKK+zHtC
FAmwb9KxPIYGvmXsOZ6xHiqzPMahTvs7meQT6Vv8wWFM/GMDv25LRR7e+j2U/k3fSL06cKvKgnxs
nT9LdqIl9iZhFNDp3AYDOx6Vu6maoMWNVXxtI8+mLeMjMsNKgsjeTeqbKu+JXO4XpXbaugBiHZRB
sxgTGhHFsCGoqr7IOlPdwJ8ML5DkjHtHGflBITPaGqLtH1LAsg8qnZ0vPB1ziyKGTAcTgH3njOr7
VBGtFblUHslQTvc4+KunTp95Mor1NnAWj707AOoTbekfHUNLAgXw59eASeZer/kjk143jw4q7WM4
RtYB445x1wHdfkzboTyOVeUfi4IKa+OnykpXVoGEf+V0sw6LIZfbRob5eih7cwu6KLuV5FWuOmIf
8EJX9Xcr5P+MMgSC6whzdBQA00ZxbnXq+9jwOXtaO+2dpMsPlcfDnVw5EIycQjxtBKQLkrIJ2pI4
0+hcAMR3gXHvNSPMbiMkfMDHY3VFitQSGh31PzOdMOYStx29M11n0TCq52RU/QPjjvmTr3r+KhFP
e1mwdxkjV+wPmrwKs+Vj15R9rUV6j6STa3Gs1F+1flysezwFxaqPy/4naT/TfkpM6zqyeBIh4rGV
RSrspgCHWwDs67ivGThNN/ftNXHUKfD5ESQm/oowvHX0UH1n+Dx/Kod4ujfZSPeQ4nEi1SrbwRZv
f+ipY9wlAAI3RMfBXtW4t03Ec0wJFgVkzCsK1Kz/OdVc/YzZAaLazJOwHITkMN+mX0Rcy6c8csOL
vMmeBq3pCEapi+vI+wVIGJwkSC4H0lpYmIe4sZ9xHKuvJsr1h8jk3cR3QX6riTVqY1n5sxW6PSx0
V5ItZPNSLojHMeZB4apsd4SsymtZCOvabwf7uptC465MGvnU2U71jHOFt9XFI1ubYfUskJNfppiy
v4zeEmigpXAkvXKoXiJQi8j8xKQhyybF8/XivJiPoKka7XacZNluRjhvn+jSNo+SY/jtVLUGGQ8c
KWDYG1hN87RYO4OeBG1lupgRwzHZY5Uk7Ch3AGxZRda5SyiH+mokuP2wDbuIx02hrloHd6f5SPPV
yJynviqH9ntSd9ZTgi0jiwJYcqWFzHLWyi1Cu6H7NKkhtC+GSHTWLcZMLHrWON0bJOWuK6eLYXHZ
I7JBNTs73kMbBDRNedIUxpalqSuvuorcA+xB/oWlZZ9bvdFuKj2/1ezuyipkscNAYt/MQGBXtgvL
vrYjmPjhFQBoYjTo8QWROceHwszuGwaXW1Lfu21nTd8Sj4QVq+9+ZLFZHLQy+k7kUnyIZ+ZBpdHJ
Y0XM/Da3+xFUfNT+MDCdbaOkucS5FO5QGxtYdjN/Y0w1cATXjhAxRMmVNRMoAiO+n9Y1XkIn9S60
TKpNkqtyXkk/VAd0N6iUtRG+tw4kpkgyepJFnv+K5EwWBz1Esggaa1r7Vnk7lW6yNQvNv0yx8H+i
RT9gW+GDxfdpXCYTOvXO9yICxHiQptHrB51IgqBwcRfKVnjbatDMNTh1Psty4RzoCBVNrdAvBzvx
gy4yvogCzB/NleZolL7ICaAd2++NHAZnbXMsRbk48ww5eLR9gJ+PZCljIIAmhC/dQB4vTb1Dw+kb
dEl9B5Ng6KjNFDbfRTV0+8iO2PPYwL0ddrJ+FZsIO9PSUbeMZw18bVmzQ7UVEzWfaXBUvfHZI6Js
NYhsvCzHxV+QZ9kTVoXKXTujM+39pIebzUTb2xAghbqktwQVomAWZJhg2DtbuAf6jKa+mVhEcERn
0mxWku/qk5U38pKcGMzvpm4e0Ew0GxHHfFXNFlCsWpU0XFbQ8e0L6dTj/TyIdF0vBmaGUMGQb0Sv
VYDtnflF5rpNt62Y72QqKzy5jR+Ms+0fii6cPieZmDd92KmLrJDW2jFzLB9O1q/yIcq2jSWsGxfI
I8XBojqICIJd6dLbKXLHQeqhFh1sMW0sX6RfXSfCK6tPw84KJ6xZfq/tFCgDhLLFTW5o7OUQYg5J
IoD0o5zcRFrkP4DaMPZ5whvviCo+eP0Ybv0htD5VdP4Igxi0W8KTvCtDzdPFEnqZk/rjAztQTl38
tCJ1hf3APfojuve1NQwg7HN0Y4h04uyTbGbjIJm2qHUSO/VlPofiqUvdyVq59oA81xzy5jKeSCmB
X5jqPyV2onxjoUsaN3qq94dZKcCEhVbvOyO3n4a8SwgAypL0aLVR870QqUOkTmP1TOCM0ojsJwxB
OuiorMFHV5WoULSxBAYZ2/23ihDjdZsPS10g1Q2+m3yDWL8EJNkXyaU2Lrpd7Impy+tXxAf08/XR
V01lobClcbgaKjvBpeiFzTrF+nw9mWESzHEpv5kS1u+6JltpeTaAbJcSKU0F+9CSupTaTXn0ISqy
OMv2h0coimRWwhF6p2cNGw7q3+kX52jwyZMW3kqmDnwDxEkd3VCX4SayF3xunBSETkj7esaDfqtV
UnK5iYh3XZZk+AyZBK0Lirx4Yzmj/DbKjulWjNgC5y+7M7JodfFP8aUS07jDMdr8kFB8vI1pxwtv
sFi6SeM0gQ9MpPNlzBRl2VIw4m7vrWyTxmZ+oHFfHnPs34GlN2RrVQOLcZ1G6aqQxEBsYrthc/eL
SrstI797SEwRXUcFlUZpO/Iqml//Fb76KrSFbRAqAJwrm6CmXy0AIUKCXMoTXynjM8tg+UNIh1Ow
FuGPes0scyIWolVR889ZjOf72NC6hzgB0rwylOYRT13U0z4qyIrWe3Kx4q4fNtFiCqsotp7QmRbr
ZlrKX9xDT2475jAJuAQaOwivinH6hdEg2Y9zWBHzlRDbTUjXRGRWqBP+I0UOPctXZ9QOCzj35Ki0
xB3SXiJLUkDaW85uv81vukpUBazjNrASqu01th/72nXgnkYt0IfJogiLfa6mjfTxs0vgNi4wG4dv
Wz1HYcnLUAp1AchzuiwHqb52nWVdg2MZ7weq3DPdkTd9uqWLvvifmLOjiHqDMKNjkrm9JppAS5Yo
pAaS+yR5uXUjja+1jifN8s9DNXreMigdKP3ZG5Y0nuolldSqLhSMM7GRrz3QPw+bglkksOBlvkI4
70nHMsKvZ/pJ1ARFIUgkQSewmNE6dZwHrd/XdRdvWA7n7URzh+SejqollRwY3Xj5NFBZ3aaDpS6w
MYDtC+3qh0xy98ZzIlyGLQSkUKsrtVKtfVYR9d758Z+n76LJeKMBrE2iTKJIa4NIM9VFSPt+OQq5
5VqlqgbJshzthPI2PR/lczPVuIaHkg+ta+2zh9k37U60dEjAFt0rqJNlePzni2h3GpLeCZPUiAN0
PbkJoe6q8KddRRwXzxVlth8L9xepkn0AOSfaaYb5gknjEUCHYNhMuaTZQ7TpUOZ/6mvTeuol7vpk
Ftmlrhfi2UTrOWIlk2V/iZHdI1LAyDa6BUU+Aci/L1hKgsiHuKQbMc7RsaBeBR57pIAkjmEU0yX6
lWFTK/Tb1bLCmBCsbvuodr5otjsRHhjpkPVKy9JWomGNBY1H3TtUxAt3LGAQ46nZOSxzLoky/ksz
GdclKfQFK/FrrQ4IV92U6LZZU/DabiwgPV998gZWlp7QlCbbYGuOobzKkNgc046YiJ44Qbyxcf8Q
EVaKy8I28+dakIV40eaz2x9VOETcpISgK21s2nFrR1msrzspwhwTN9xluAXQvbTG2nBBpflQhVCb
GiXgBbjOnEeHjJJmE87LfxBS0IcbvWFYsw4TBJ89ujjPvGTC2WAhFqNkN6amr/U4LclgirniqPQr
oLM2JxJYf7z5IwwcbaLI5zit42rkINJ4VvOowx9YYzS3141NmN268IkMGGsObl5syW9T2mW7OmmT
fddTXenZwNdBIkO7iUune2iT/NmtOT8S1CefvCEXyaaelvyw5d75i5/5Yp65+Ww62i3mbnEw2Dhu
MtEn+xA9Z7n27DY/tKRHvYyk6b1Yk0FtaOamuWIJyXai9erPnES946R0CA4Dh34nL5vHkrS/xxFL
+0EfWRnb5WxXxn6+jou2H9bWnI+kpuRDtzPmqDiAY+HUUrpiRe3k3hSi7h50g4hGMgaqF7upyW+w
OGFJg9Pzpi5ndoC2MppHM6WhpFQur4gfwY8dWqxsbVh6G+G1nIxCy8JVW9kz30hDZJMBCYH/Z6vP
6ntVjtyVYobezelwZSfWHDBHVxdKKrpyJgO11egvW2hcsHTbk0sDqDDVV6TQ3tEYaLNADPOPkSHr
i2Ryy6MTceOYOU77UjftdeWV/QOjUI73w5TsvaUDxKRSXhUZ/SE34ZjMUHL+5fGVztvEm+UTiPLP
/ejKb+SpcNzW7YjEdQumxRAzobb4S0ttKZyXf/VoLdl0HgKyel0x9ztOYiBJe/lUx2Wv0bNs2JDG
JJ9teMY7yBUpnn5mdtuuT+iMLIfXZNQ5wMejpW70subJVCmlyOteLMuoBFUZmdNlhqqMUKt6oK8j
8KnTWOXqcne6nCMoT2NPd+31NQQXSiERlSDIxk6bPlkRHQ/RTOrmteMD7jtfvGj52gElQ94hp2Do
MUmQWxRUOXPOYxc6CDSW9oAWadwGZNnumoYjt35p5M0JKK1M0hAa4vhX7ZHdN/O5letxiihGhoXh
50V0r3Q5ZrdKIoEibCWD0o6rByUrzCTVgZkBcMMjjgY9J+aSK2Jub9LEmfkEEVXQggvJTaW1oxOi
2BFs5Ke8gtCsjGFbAo1bgySFQ5fB0aLg0WsaXwxVmfnQEYTio77OAnb8ym4H9R1mKlGjejvdl/Av
VqFZ5wdtaa7gaGNZ40RP0svSqVkif1Ye2w35a3PC31SYNHvUzBInDH7+tX/zumGPGb3bsootghq1
n7o+L+Wyq/H48oJiSTUIrP55NYkI20mL1hCI+/BWN/LyKCsz22BR8Y5e26ivlUEPjTgfemrId8vj
gKXkurc4aZGW0bK4a2bzA89a9TxGbHi1rvzj4LLOVkPMLYxtIpd1YIJ4+7POwC9X0MpxKM9bMkOO
y/us6mUZxrjUkAOc05H0E5eaN6v542zo02WCnOYuXrre1EjLLsAB7dnweCWsuWt+dIpgkdgIo2uX
QN2dUS/vDwQTkCT0IXOHywmX7tdreev5dEhBvmS3xdDTRSJmceMgB7t73RuMlhZw50XxtcuST9+J
Jmqv2da1G2k2W8Xge0flUxKpKTPvBjjwa78AduYQn3ywOA6vYyc17qQDpCiB5H/waRAfplwvj8Am
y6NtUsQWyzOIKRGeGkSPclfPFcX5YLCakYP3MA2UyTKjP6dXuXlHNDGLLevYVxBV8gkLDbEzDBjX
ry3BvqVp6cF5uojKeIDCTwnSsJrINcecbLcEOe9UNVIotRx2Cj5s4BKCLmiV81FMel8956ZGg3qg
ZyySkKNCS+EsoL9uTJrLWzZ7Xp7XZXZ0uRt0jsitrazokVP9RBaiWSznCSJ8L8ZajJ9rmjb30qVq
1+aBlkXf9NxMneUt7vmOMiL2HnWnl5zxBO+apoe340C/zMzHIjmUlq0uBnjnL+6yVGLYMrd1JrJr
cJ4QQJ3EpusF5E8on/0hpmXCN1nTncaUsaT2GTiNlNv9dJcs1pZ/OomhGR9u4nMIIQ1HfoMZRcmh
mv/D3nktx41k3fqJ0AGTcLcoX0UWPUXqBkE5eJdwCTz9+VDqiZGo/qXocz0xERNSSyKqgETm3msv
M+eHtOQlS+okvsHp7+Mw2Nw1Arutg+nFvCpDxj3ocp1uaBibF6qSVAS9IrwmwDLEp27p7eRMTg6b
7EhI1nNVhVSz0zCth54HPnnoZzITSP3y28uLORUpR4xGhuVne+RMrTlUDuXcqVvsKadtEacJcV0V
L3RChRu5NpsMs8boBlEVFIvZTubr2pnpyEZ3wik2+9aLuXJIDqOBvQDFLtGIAqvL+3GpAibV0JIR
utrvABL4xiMB1CkGE554JQctxrmDwroDUNn0NvExBA303rELu795jv8bVf5pVAk/nQ7xN6PK5DOc
+Lfyp1Hl93/096jSIyYFOiqLF3cS5osOdIK/R5W+/pdg9uKjq7WhPQiHidt/3Oa9v+CMM+wiTRRq
PmKi/7rNG3/hfImSbWGcoZPBXuFfuM2/V2BgZY9DtgBLYCgu4I6/a4gbRUp0k7fkgHCQdESURkWi
9tJeakSygaDqVfGEL1KaGdr4lCh0czQPcc2h6Nf2G/ajpWmA7KEqwbI2dWYkq0gxRXqKzCWRGmgh
A+gvW+ZyP9zp21/nkcsn+6ERJXmTD4xFA70T/AGa5J87KK/tSQSWszxRVKt7Iy61lT1yKE2Dq/Ni
T2H+B4qK5S3Uj58viXoWnp/N+enwNN/xFbQkx8Sxr6KT4/hX5G/hDpcPEP93cLqjhqFSozV7Q+rg
RYgKGrXqxeCKve/0Q7i1I/y0DqHLPDKYBzS/mIqGhHmYHbaOXpmA6VclqWpIkYzH3DQ6cj7Csjql
7aJFjggnGwIjC6UTNJK89pWNzwZnxFhyrzVnUPcECIMwGbP9hu9l1QZp43EpPw6HaCPdMC3Wo40p
OmJ9rfVWDk+kWRVd2/db2IETodhMBCVjO0yjrNzGQJYZz4ROAyF0h6Oj9KoMm8komaINxfMYbYzl
k+uxyBkYxJH5aFAekj7ttnw33KSaVy3GSzZyRj6GwmpZYVNs1q/mMGJ/5BBHGN+ouOAT+ZNtHSZC
rNWTZMQMObjRgDTMNDZaCDAIOs7Qxl2N0OPJqV9MDuP42MmW9ReRorfSTJx87mdZcuBauak+1J5B
Krtldty5pMUeABC5UtVB1oxbVwPmEzOOU3TUQV4P/Gnd47S9wXuVgamaG5o4DTeieGl+WieocJwE
6wMDTxZXB/stHaPwuZ8c/3noiY2lsiBcdd2gioOoy4/W24abRDY4T8ERXde+xEwZ672Yya7bcB+t
fmUnS3RYQrA5U0Mb5ONhmise67AYc5wg6uXxcV4eibvcHB+fMJ4fNlsnv9EmgwFGp5FBhDL/OiYT
/U7zdEB7HDRI7AVh82ibEgNFICmdVFGMh/CTQwDjrqvBzDfMxqJ1Tlbxgg2r6REErDtrto+ZdpFi
/MhZ1TPcSjv7epoi51kbXOM8DnV+i5tn9GaO1GdksgtvlZil+1ZG2fChtgg9peFjycYj6NkwDp23
ilP0XasCt2gCb5Vj04+Ta/mswdXv7syEkNa1PbgsGwy3uL1jUjjyhuRSG+aXHWklTMW+sQzcAIUX
z9Y6ZUUS+1sonl1i1WL8NqVTX7/yyyL9VqtR3SeFTgHqwJZaVRFrpKX+6Vdx5RuPzPl5PHlGSnWg
hSPPlqY6J2kK5+9X7gwvFwF5vJRZXY3httUJ3X4hbF7dQ43gRdBmlxucmHBcdxl1xMlmmlUHoSJL
KBpSeuY0NNUtxjjNvseuT11ZGFtHeNL2XIV4zHRG09hq/gaqBveFKBD6mh6v0hPxcaZ8zOZZ057x
Tp+bq86UmrydFHOCbT5ZbL9zMU7+UyL0IrsPhxTwCMi+WYWDZR1mEgSHYJ4K7qVkjpyQtzhS9vt+
xI2oQWv3Ye7BmxDsKlhCNlA9VpeFnCmNB4elLu+xMywvRScpHAM1ApmwmVfmY9JrTME9wracF5V7
vXmThhT3NGNGVn12rdE4x46Xkqu75EgGWhalCt/WSKYfpSEBZAIMTLsvVuh12QfJDmHgwB7Otryp
CF9yvEBFWuhv3ByX142ZwXANQM7SY9sQ3U4ZJ41zSg6v+uD1YZN9td3SNBvSe5oIC1Z9MM2bgvNn
bqjqwFQOYWkSlYnM19H1Q2xaswywRMACXUNdw1h9pr5PIu9cQoJ7sYc+XOxhH1xkWuPKKKr+CWKE
tgFRjcmzq9uV1Ufxwcr9EM4Dnm5BkcB/NSxjwsbfLew9NuDOompJGy35EMWib7eitp0yBciewpJN
pjrUtac/t0RFr6xC/6iVA7mBJcV5NpUYqsaj8vZ4KUaf8jZ0v6qIHAlSt8obvMOu+lE2ExlaUt1h
xBV9tK2h3BQcUmsmL9Y9UanlR0PExdYs9ShE312QHUI65K0fYWDr1hnOqhjA59dJHeVPZtq6gU9s
0XbWOlyuiA1bEYlMtG0x1jdDPhdXNoPYTU8nf8e2Xn9M/T5+GER+O7q6SneywdmvmTBg09Oq3A1E
4z5ErZM/ocVso60kzOkKtblBJnUzE8zrZ1s4PUkwYGyxNPou295gVY8cOvVLaRd1vE7nttx6iV59
iGEucWsxYCORxu7LlYMA81w7DNOiZCjwH3Xbb4kk+jIHe9+bi1QXy3vzjBmqK9YxadBYSE6UA+tW
msOpaYtq5+XNhCFPblWHxaV1G9nGXRpW9U6HZbnGUK5+oWGtR06pwTmUcAGGzVS4/bnpRPjg17Gz
09o5w90PEjbOMLMHxdNxzlrcNSc27GmPtmE6jJrhw1POxs3USsxRgRdXTT+l4BGt8zgkw/xF1/P0
5Hv+fJKl9P+U6QKN7l19gkiV/xlsRviavWcTN1VheYQH0Mx1tdxnJQwDfbQ4hIRGc8+grzqFvOV/
IIy+o59RiOHxAYETqhspL0iofy7ERDjHbjza/rGhRXuFAcLGUHcmNcbvC753bNHLdRjeIHin2iPb
7l31NcQQFFo/Co8iWyoMV5fs2QvKZ6uQDePfXwzGOUMiCmQog+/weYN3WIsoAo9ePvqbakFjCE7O
V1rS+5vfX+rXQhaqIEAhtbgO9fm9J0sT+W6NsziWigQXn8uly7fRN4ARd9WpXQj4//p6pDUidMf5
1IEa947+jeib1zYv7OOs4vD5+xFUEiCTrOyypRppEzzi/nA7l9v1c+XMl1u0GvAHeXjvi/WpiETn
y04cwdCorghuofhhQ+UELtWSXrqkdVkrrRj4ta6lHB+//9K/LlLPxuAPvciS5mK/1xJUpWh0lTMl
6PtkcaYDKFDG+Ccrjn+8CrRpH++HhY35btXkoTmWYdI6R+LYsdpLAH9c748yhX+6Cg2lh32PD8/1
/WvudJbZ2BrfhaG5t3YSEDMAvf+PZUI0mgWjlG5noZf+/FpnTdEAryCpMUPgScjtLIphgti5mcLO
OHe1GuY/tHS/7l/s6ewmfC3ExVz250uWyRBOY+6Io1aFzosBlHec9YFSpEcMtylBUM3AaWeWyO8X
x687Cxx034LJp6Px/+WNwNok0eca9/Cs5+0OK/bJziEOeU7BrH9/qX/4iiwOaPXU4Ggv3m+WLkwl
LlWY4G0LwlMY1WluO2hvggWTLR2cWlbN7y/6T98P+ZmH9Nj+B3ukgSmAFRM2d8wdsozKQliHXPfi
HY3OH9/0i6z951fdB51AtCNc3/V+fdNiT3o6+8lxli0QXWoUNoJmV8/v62GWZ0IxYZmFE2WyGqnr
Rmqt9jw0MGK2gqEczUVlvzGYaL8g7LKoOmciJW+9zKn/5MTx68bLmM5CD8eO5ADQLO/ZD2SAMrHH
BBoIK7ywuFASAuouCdhtgIkKSy31Ket//yQu2Xrv7w4mREj1fZjM3nu7oygHLwk5446ap1HrKs+i
f8BtFLaKNDgyyRhf1nuaGOemz5tXgM3ZWFuJr+6b1mxy7Ij7udlSJYH8Ma+L17//gP90T9gpL76X
PLv3Eii9gYNMRrR9LGaPolu3049GpFlHjLTKBKRU/xOM88vadIg55G0AymGJQrb7+SE0SbsU/di0
EzeNszgz0TSYmpJlqmq68d9/u3+6GLgRdmSYM/3q9+rNhP1FDSkPCn3/bVrCpmS2S5dj6zVd0u8v
9ss2zTfzFiWfjtqA7exdXVRkmlG3oT4R0mHTWEZJx8riRaRL/P2FzHfMBhPXB4LIKR5svhwOEO8W
MjEkiXJqd6SCkHF7q9PD9SvNazsk4iht21OdDiAhImIsFI9xQShd7Vpk+ubLMVg16j5OMnACbaRZ
WrUGo8rZlXKvaw5QFqiXtdUxUqM9bzKa40t2UFdCXSv+7UZ8sRnC6IFzDUuY96VQQihC7RZtezRn
mOkj7o8nZqPJLtKJwvz9TftloXMp1oDASxNI7xf/EQg+ZjcoBkYSv1yGMCnfH3cOf4OHV3VaAm3+
hB8up9cPrz7uo+yHJOjx/4aNcOXdUyrngoQFaYuj0yjxFceZ4ShF6D9fABHHxX143cy5/VQpZf7h
ADDfLxHBlZFyOSQu6yZUTnsxpvhhrxN52CUCy4WjAYe4mKH9eQ6mEhMMKMtERRB6n6CHZGI9VK3R
kpdc8QZaMkr2ZjcxKcYHe7rX+wIUcc4WvKbB7pTGopf8+jJ3kQUpzPAHjeTWJcC05CcR57X3iWhI
AS4Jf7qz03Z+RtTIcadxGOymTpIXMsipbgPmVerWHhXQWBtm4H4ZwFEYJM0QLTo4nBWu8cXO5Fo3
suJuBG0g+7rTdoowqVtM6jRil10yOkCxYfbqLoRT7PdTHSN91+6JVxOyvuoyAS/XzfH6WFdIPWmg
5+QIU8JYMUa1CfvqjbiB79w3WAyDfesDJG9rTsuKdwbfxBkiiZEbX0ZJjNJVqsGqWPmqXsBQ6JXx
7TApfu1qzVwdHMI+kC5KokT2GGjRFZXNzJ/Ojft38TlkIciLny91TVPzrsVlbiM1KVsotZmBEzaB
ClL52SHyNHVfE9cS3+JlkWPpHzVDd9daLQ/ErLF63VRGUWf31axzXsi+M5otlg7qPsOl8SpynCq7
d2uj/UIEEt8CIq09f7WcshfXsjEWKGrEmT6AMMA/5KvbbzbkJ/yvDF/4m8xMxdWwUEVBNGD0YuFI
kN3WqWG1rMFBQK66OQYI94rJsTaDFfITeycOjU9wdstDo9Jee1AEWc2rJps5tXy9FEA4cW615k05
DnZ3bxCW3a4zlkt8S78K78GYXAicmsaYbRhkS1QNg1BtNdclxAPHXExMZvgZx7IcaCRMd0zcKzGE
xniIoQqEnKvGkJwrmYNpeZh5zjuFYNQMSAQBZYx6XclHo7RlDnvDZoEhvcVSX0skZ8OlDgCzZ/VB
gwBqiJ0K3AyCGcQorMgVFt0EeKhvfjeHt5Cc1O13CM7Oez6MFSP6EalpvyVhHIebtm/Hev/9tXJM
9hbikqzD6KIoeitxXCI+xMZp0VBGnOxBe8HmzU6wjUvHZhU13jLTjXOb+2q2C2ZupW3/aUqQ0GxV
Ag7/fTSDN/FbaFtLIREJajuvcsVbYaQLEiuB54Ma16U9hCQQ+Mvx5zo9IGMMduVe2QSYzUGmJyrd
wobT21OBNGXeFbXGpCGfBDdWIGeztqlvRsldWzZ8EEMHOyHbz2yJKzAa9bFXrqVBrXbtLLv3KuzV
rm2VI4FK01IswX/J9NXTmGRsUq8xxd1k1KDA8URtjN2wMboF5zFjgLgi8goYfO0LpjkZb3BnuR8o
zDPyP23ZQRIN8mSo4amH4VyAzWu5nR5z2YLWEzg7GrAJytkDkkhFeCx0XQG1gZB3HgDZ3A/p+P3E
/9+c9A9zUsxQl1nY/z0nfU44Kcrk7cc56d//6L+STnPRZTr41eGbcmFn/j0n9ay/cKDhoF4MLmHC
Whys/9V0LsM4A49oDjfT0Bmh/p3KbTl/8dM417GvwXbEdJx/MyfFk+7d6Q1AA7KGAQ+9DYXxe7MU
b3Cw8poiY+95U5ljqoBlitTRSs3l1FwlowXlL/w4lRi2BAsH5Unvazz2dSY2SRz1Z6tyluiGwdry
mhkhEzlMDuHk1ycgkfyxKpdTlir50ITdYziECkeWvnnTYSFKiH3c4KcWdfjzZVy4ZH7mwWBq8ou9
zAirOPKviF2x30q9YY8l1cl+g9HNX1rwtOfOqbSvmYLckUGAVl8X/NBNj8T0jOe4cjeywGknUumJ
d7n2ds4Qlo+jJaIuDSKtF+e+o4ham3GFdSqe9F0AG3/Y1Avi7zYSz5IiacQa8EedDang8GWx9zHP
cpiSbTd43BaC3fYGZ+NVCstvBV0TcjCVCrZMHp7AW6PRiWZus0+imMtTtAwuMKoSaxv++YtM23Jj
G6FYa0zYVzkW18+XeqSoUHQeRNvDu6iL+jb0yZzcqRCwTleD9tpBSFr3rVJPsQ6Wj54hF4jOhsZ9
rttk6Fauo5jFzHIZ4qg01JtteBmXuLPozBuMwWm1NIQxj7JhY+1Jo5sDsoPq10spTU9pPH6fknyf
WVxmTD5x1/gCmaPx+L3kz+uFCAIxh9NTov0609WysbtdS9lj1UBxG9g4yxEV+3Q8THTYbS+1L57/
1BeXX34vPkJkMMx/+5K/N11Gp7Y1Ze5VvcCgJLpzOnB2h8+p8BY4rwe+6AaxQG1xRFmAyYL//H38
WHZUnpiJsZVKb8D13JeMnU3D5pFeiEYjMyvOyw57cSvu7LdaEV+6E1BCkwCZxnzyy4nPfEEwTMZA
nCdi5gtdaDxmI5lKEx3IEBPiGx9g5GSgMIpS2qxiCKkAL+UdkWfMNe2JWKa1p9xcrD3yG81zOOTL
/I38vOjQ1QsEFFVp9yVNK22VZDO/R7bGjyUAlNM7T1Oqq4qhSjsEzgVbxO+f6lE5y5f35o6523yZ
/UlIhMzflxJMOHhHKhXzWC4QjIOl6kpoeN9CWzf1W9TGDuISrsgMgmpn0GgUxtxgbTaDyf29TM9G
mXG4WsKmUBCjyXEpJRFZ+jRxCIuIXsJZgOqGwfyAW5ZiUJiktriLCGPcZHDkq0NiJbLdhE4PCNGY
eMIFkZXztaYCGlkc5s4H0aWT9nz5lDhe9dGewxgPOKp9PqyNcoPESNMyzuh3KYHzDAEqpMWRWjrD
Ln5+6MaMrpO6ceEb6Av2ire43p67yWeg7LTVaZIVv/enhPbb8yMqGBrHZJdVGgvCBwokInMpEF24
8nsSnY1pmzR1/m1miAfv1NG4VmmY6KAiW/NIdEcOUp2I21WMXutMrYgvhm/Y+SYJl7Mz3uujx4wY
N7BXi5VGmFTVo4oEG4KQRclJre6RRVTb3hTYJkHTQWu2Pn4zsN9XE7Xg2dHd8JT6k//Mw3TiNZoP
4z6Np46kOImQswPCD7duaqqHgVW8S0ev2M6WYa70IbLv+qRrP6cY6FFEcOg8536uHjxHoxI2JQvb
lCN2OhE34AoXAsIAEFQSNzhXgOQQ7nBMX9s+ePmKWwblFE8Pdz8ymPncIPWxiMWqPIs5+0hbabaZ
OERRKg5gKAu8seDuEpHCldPD8OKCxXgzGrbYiCEyo43W4ZOGxMfwF/1NfUBxbe2g/GHrLDkx7kqj
Lu8xI4JEOpCBSaIjoskndMLuVoPV+FW4hXUMZZfs08EzvuS2Oz97EWUZpGEkXY10kq9Wo8bH3ran
Q41x5GZKc4agifYkU03iDiXaNdw7iGS578ECMaixTEpq4oDLkf9GEqROqb8pI33+CiEEYRns5PYE
19nFkPgiPSsWFdqUpe0JaQ3SNHyZjUNP8Md1sSjX7IuILbwI2mAuUn2in5KL2g2Ta4Rv80UEp6Zm
OpaLMi5HImcUNOcbHWmPXGXe0BpXecZufjcLKz4Mur/rBkeRIEYgSwsr7nrs8YHPtD68LQfJbkK0
YpmQE3hvlEQqIsOOiPds52g39Il1VWfwup9COBbPY5zLh3wUt7E9NPewBqJgjFrjPgRKeCjdDhJh
Txl508Cq2oO/Y4AQxfpLBJmC8EXvcY5M50PfTuauInN0SXEGLeH9gBu5H2joePHHPWZgNEm1edvi
yR84zEHtTa7H+tVYzTmJbk2n37VxhZaAScMmTyUqhRQjwCAecITClVcv9XUcxuPHsFYFYmK0lulW
L/qemLomz4GA4K/SjDXVylN692iWGcUwEBhdFoqimz4VfVDAcTgMjsWqpin8qDjeT+j/+nNn6h9p
c5tFXjgRozeq2llBzeyuWqKX1wMDrYeJTNTTpFLjLjOc7tsglPw40eQ0b6rT8+EucWQYnTo508Hm
5KHUjXwxCSK7i2H8EsOXASxA1bkaOugF0IcxG3Cg8BJfdyMlaWktmjY0YW7xNe9GddXMSUr2+mTe
pUk3vHqJg2QPN7dbv/aJsuzHyA2yMi6aAJeh+uxqYXaN5tSEA9/r2p3IKhsZfj9uuF1uMAhHHWui
bj8mfSdWdlU/hX2tHzNdPncciZuY9m3dpvqrYUaHdEzbK22yxcuIerrgnZtoUMPWwFgyjk9tJKIb
y6v6696Vi+dyF2QuGfKxbvTsmlWtxNUYd4JvCOHVjIWVo1A2+47DTzs7gqWiJ/FVMRJWY+bGhzAV
7mIuVAQSAtQKYXe2dlBOro16YB2YpGvGysGfwPJD7BIFhJbS4QjfLiMdQqfN2rrzIuHceozdHiop
CJCV5VDxfeJulc3E77rdcF3JzIb9FD05egMHUGrJ2lhELVE52Vu/K4qHJK0GIjbBPqAXGMlamUts
YK0rLeg7B3PGqY3j2wL68Daz9OlRl3I4Ta2lf8AWlA3KiaprdiBETKolwbsr/Dur04ddXfZ0+8zI
65OFau0+tosco9KyHTd9VSakT46VcexF2t8RNq2vZegcPJSLV1WG94Le5iEW1QWSxD5+ScMiXOHT
6SGLxmz3aaj9JnBbhS1j01pHpy7wMNIj4hX92Ns6vcNzQEo5OgFxm/688tzekVtieG3ehKLLVrWy
m61g1Fud8tiHv0hPuqtH4T3XPl98qJV8CNPK3baqCVMoKMa499I2WTe5nwVeyAxTSfJ8Q2zVApnG
Yj1PUXvC5E9YhHBO/UlJUW1H01TWln+jrt1Cxd5q0c9+SZve+ebl8bhJkCCgZvC7/DOk7Ga/YEmb
fCmtamxag3yYwCAEjBWUAamzSbSmRsw9JCuv9/rrkdDDdYgJ32pivLImE9c8ZYinzzNUdOuJ8y27
hoJixQPKI1Xcpl0C+JvZ1X1fqMi5z8k2hWYIATAYoPuTLDeKT5lh6tHWd8qSF0inFsyADW8iDlkC
2NVVmbXtZuozX61SgPW7ljLg2szrmp0XT68Xt0AHjMwupcYS/mvUG9X9HI5pHRRRvAVdnq6ww7XP
TUk0JImVjbbuCT8+WlXenZTRTDuYkkQa2137GI/FsRmbU+3Nak0mTnNTYLrwGc8VfQeVVR4NyNc7
GXnPFGrj1m3lenCluEtJJwNhwBwDupYqovzIzAOwgBD2mXgXcMIU+UtZQYw3nfm+t3Q0vpjiRSwf
Mx8CxhJ5AK+LG2KF81XWS634PA2qvSWVfL7R4lkmm6hO7P6T19WPOGuUmRvIpBehucNiz9IOoXJ2
TWy595WRQ5zLVXxCBueS7lvqb93o19eKNOkg8VgLB+QgIc85nbKNBzbm3vumsPUPScGv5BhIeB63
sJSA7ZI8kEhk7Hr8MMeiWglLepF7C7+lueX0O3QFJ+if4oHejTlw4gGnFzTtzIkZrr8f2mYUS6HT
6tXenhammZ2klInIyKncf4AMbr8j5T8aEL3Hzy8XIuyAE4GBNNOinyFsT1LMN5Du9jk42Bt9KlzK
7gJB8RgYHSW4/dImKOrRC5/v31598edDhMuIZckMXOYJPwDoNaRLhBCqwlK0Nh9Jg/fWSZNMlBIQ
aiqlcVWnc6kHNbxR6j/MRYx3Ex5uMvRsU2dMbbiMqN9/d8zZcVwIZUX6dM1PH8YI4NbNGvOxTBHl
rIWxKJoGMTG5JlYA+pwse3qAMnLzfSTAIn9/N95NT/g8Fql0Phy3xSbvVxWwP/aTGdHMuFKKw2gB
P9hJbJIh4rZffGn8cYL9bnLHBQUaTwLwLBctIBzYn29/Hg8T8zzs4stC+lddzMgc/hjLQOtA+8hT
/hzn8MXP0eD1FgG+jhUSY49lXXGd2im0xwtxx2lKIW8KORg4kjhzfZSmAYk37kg+zyqqfiwPQ2p1
Rhlf9Ei3fFAc0c0PpqMBVzakee+Tvqe3wFLmrbKHsXtoIfi327kzjLFdlUxgxMeZJjLDcknRpUeg
sTR4EQ1otvBSC9eq8VdAhsc+UX4DNy4fMGSljeualr9PRkL9qhdCqSvkP662HJg6XTV2Onczjjjt
dvHNb3feMqCZ+IvyRlQ1yLsEflebFnbP6wUAKbBi+m5L+j948w/wpkmqFOvt/4Y3r5Oy/NpW3U/4
5t//6j86EHzpvMV2ALXH8tL8YFnnu3+Z7CyYxl2kHheJyH90IP5fGLpZCO2hvMFMcdnz/sY3hYXR
nU9UCqSVBRT9lzoQDNx4g34YTxIvCceHbBz4EItPsPFuEG+hoyxw6dZPpa5VcdPTTzjaGkFtiIGQ
oepNJiwawskaarlVS+O8cerO+qpUjnS2mJOSQnJqr9FYCb/CziKdP6g5F+LZ8Bker8fW+BR5ZvQE
JOCuksixPwzod69x3eluZ9wxw21SpaQ+VCTsXUcjf7iinfPrnZbGJCp1aXlyU8RwhbLvctlZn7QR
C5aT3jYKkyTH7K6GFI+eJysLe/eqnZsZ2XfujD0i0cLqv6QXbYrZKqj/lR5g87CdJ5w15qyd1pbU
rVXsWv0re+0Ilb7HzO06sxJkjI3EyH6b8WwfMG0qnJVlllWGF2mYPBkxNVgEvX9eySSFPQrIjcQW
D4MHR/TmoaVZ3Jkq/ZJDO9gkbrKY0TUJTfJgmrvUTB4nFHK3TopAY89fsa4xRgkLvLfQ+XXEU8hA
CrKCO0N7U5lQgaenxXgAAGEOhj/QhsKHYmtA9LaGh9nYG3af9t7Qc/t68KHbG12/9N2+33A0zH74
PBee+1C7dvgou8n0DjLsLG2dtrWdo+AUnGCuDNOXAQnaRiMYcJWBznMPaorpXpVHx6/yU1e76Hz6
ghh1Brch0pdpGk9d30XeSovqeOMmlE5NGYlE34UR5HMaROSwEjKc2Y34245zuYYbN8QEKjfp1pvC
cC+qwnypZwtR9txq86OfgwgGXTS6yV5oupczZyBh4ikil4KWuGeEqLQN+cp+2+6gfgNpHVCalmRa
prmdGG9Ri06OJ5cbgY1f/aZoxcpEN3ye7ZAuUA/LjeOXxgFqLtHnobMBechXWVaN6SqxMdkRVVOg
CvW7gJFqCz5FKCUx4baJFxWx4RjWeGRpae5jpjDjsc1D1Mtre/JIIR/nwE2qs2jmBoP+bIdYOTy6
WbktGbw/aVp8p3CkDCSX2Uaz6oJimF4NfZy3MKTDbThMD5CF20ODecMGMxeAm0LTD7Utsm1HU3v0
8YoNstZoN62GZTtnRnIUMOW29JDY7OTTfNAbXk3TyUGHJvNj2XmYXBk0yfSAQJ1kcW8r0IzuiF9m
emDo/EkyLD3KRESnBtBzPc8FeaaYRaAOWLWi7rdgvNwfDQetQitXUaP5WlDjR7KK4virjbYRtwN8
oyBXB06jIwEWEnAIS1D8LPopuiKWnLIE/8IdIvaHLtHawKgSg1mGHa6ETI1bPn16SumKJbqKrj6g
X+u/ApxMay+2uDm8bPumXvoZ5n9lNOMH2TSHcrQfGiu/z7zkajZCxu69jo3f/Jg43Q5o0z+60Xjf
+qhU58JcY+C0iTAgkhG5oN4gntqm2XmTuk5NjVBru1dbWefdZghnPH5D8exYqJLIeW/XRpF/zQWq
cLMcnTVstv4h0bBxbwxj5XeoZPEuYRNMvGtRFzJIC6KkKewMkA5T3Ol4rG3olku0H8PI2qpxleZ5
ODvGuu1Ki/1+78n88+ziTguHwT86bJfHXiIIINszPdMNpihA8cvlrTDuori5G2jINY8vNVflWXki
fcuX3SzrQ7cG6G21U12b4j4xG+dY1V284oExsQV/enWb+EXXQM1RTX2L6Q/2kdvCwEiaPMDtgtAQ
dBnHfkqsTcu2fgcySY09O/4hS9370JF349DpW7YJ71Sl2ujSQDrdB/aVfm0Obki3ZHXpOTX7YdV0
WbfTeVBbvWp6CPt2fG8p5V9LpSPe0rq1SItX3BrMFYqDm0kVW2LeYwYzdI9z2d63TsnuEi+uMnq6
xfXJ4uNV4i0WCQ4hMadDQyBrZpDfmXaPIOHO1gSFfBiz8brWGrlSRpc+odp7svE9CXJteGtn/8WJ
sB7rbYd13NfYL+YgbOa4Rd19qJx055tpyF1sxNk0omY3evJzaU/2xpZzu9c787EmvZAFnEHULuJ8
ONnNqJ9jw7rvQbHzNn52MhPDCTxxdACAgJ1242j+R+FTMDI3WGXLXlpr3q3XWrs2SdW94tEVQT0Q
U8Q26n3Mwsh4yUkwX0vL5VXTBLiZO1y707AZmuzoema3Bak0mSWmHtOJOkEV5FfxKptyb5erfj7E
VbenbD0OSZjtEEYnq8jXapQY2pbDLF/Noe8G3ojrRFCJXnym1+oW/wLNO0+zLu7iYtHuu7K5xhxM
W03jUG2oguNPxCiK1Wj2VyqhZS/H/MkQw77E3s0fZg7W1Pc3JhjUAM2zSdzi86BKomSnl9TNQCf5
PuiiqmyFJ3tyGiZcSmRhbAV2QeYqsu35rHBSwHYlbOp1D8nkZCd2tJ00awraPrJew6qv7yHHZWWg
oT2paZLZmYbCKm8jbWgxdZO4a3ScazU2o/upstO1YRj1tvx/7J3ZbuRImqWfiAkadwKDuSB9l1yu
NUKKG0JShEiacSeN29PP51mV3ZVZjappoG8GmIsCKpARWtzp5G/nP+c7utG3FhgMQmwW3gxtQsmy
jZfMmK6PZ9g6NQKbEbh3k0mbCFm06mKmzThvnKVwoMAtq9SPlTSCY9ir9TSP9oszIxYgfBnpISmJ
frHsnWy2fIWgIMlxakAlPGetLRuJz9IY70Xm5/HgTMNj71b3U2UY+GOMh3LJ9EUB3e47u9vp2atP
EBm/Bz2VA3OuTpZBtg9f5rix0A1+cHt1WD4sybtcRbcl5tmxNDCsLdpdtvdI3kdBwJGkVA6/bD++
hSm9G5UZGOeUMCai1jBFFAcEXx6dcRtNSilyM7t4rwN/efIng5ycDt5s5TYxOFX/G4SAfGMknhlb
fiafYYmYxMXwhoY+IHTbnuvN7Fw/RLxhMoKEB8eAeA+fa368FIPGtpQ/m059LKaBihFW43e7H7cm
QaM7MvvuZqHqgF1TI2Dh5PRo4fnpnKgxu+KmX9catoN2mBGq9MzO6TCoRMUwicjBI9k9kv1qIQwF
mX4AOxkcVt9rvxtreKiHZX4ekWp3IszDPA5B3N0CXf3ZquCTu3Oxa0lkb7Co6JdcihuvssN9E3YL
2woj37J95QGBdwjZEiRG5lq4y4xaWgTJKDSiKrO9laJn/zT0y23pTOEBDXMGKNd+FilttHoucnBr
KLhP3CB78rDaLgJ0A/YNe6dKiY2VjuLh1RvVW0sy4yb10GELZsFv5tTZC9CZIiCz5Sz2U5nZ4gO/
mPfBKhCs4jqktPtlLYCCgoFB85pbNIES5YT25pTjyderAdfC3FS2dUk4qNh8bqsOEDHonk3J5BFn
7DzTLC4Tge3yptOTv2OBmD6hBGLVOzNoxSXUmy5cj541/cSlj44F3GBTEgfYasAWZO9qK1pnN4x4
SO55106udIYoxKizKWpEtdnRP8bBGWJrbXRUgWneuEWdRF3S8vxTNWjlCjJFgsuAGG9xsNGIo6yT
46kyp23S2XcykzYpSK/bF40XYK8oSUkP2OmVH5KizXbF2HaP0PidvSk+dJExMBH3ovg8ecFUV0ZF
izBqOPYG0YSeLbeLglEmZFOWauu3tF9UXHclW25WoZa4LpabOHfGDfHJltsJHAvy4Wwk2UoGq8p+
TCFt2Az4LMV4icE4vcw1uENKmLEx5OXN5OXLhrZFMsIzoyHRXdhjqd/wTCzqY107jyHZuT3Ivc+i
0i+EBuH5euvDUHJOsQYXWAQxb7iHw6ZxlgzTgNudjW4eoY8Y1jcyBcgHRVm+zEOPPwzcCMQcw0G1
70Bz1UTfMvIikSVrjIPl+lK2DYFPYqhxXif5T9WJjZj99WElm76dCy9aTEq7vDlIXnxR3LYZFpDO
CYdYt9UXwy8kkKzfCrnWcWYoi7d0JMndZ5Rl6PIFfTrfFCwcdq1ThVvHYdix2sCNFkMWZxjD19Yk
Ve5C023vvCD5MPuO7ie62/fZpOaHdiHpHfaeiJfCZ+oRTXgxG3lXzYu+s8w6LuuWvvUe30nmmMud
BYzWoIqVRsjajv1xJF8U+tMtoZafNecNoJxvVrC+p42390WvbznmLrwYmCyK9ZgEatwSut0X2ZcR
tHSOImbeil42h1Z193hA4J5m3B6zNojJZpm7puF4S1bY3oO43lt4UDDjyRtIfjxApXkyVfACjoPC
inx9n339mej0o64V109tP+jh7NfJSz2uAzySKv1hGPDANKAZiCdrnNr+7RoGr0FTb7owrPeKh2Nk
pQGsZzgykVGZ4tZxmgfW2UtssJ2KB71C4VTQ2O5UUk+MZ8Y9CMoxQHGaVx4JMuHX5UnQkqxqst0S
0K7ZcQX/WLrslw17NLKTaYky22KpMDmAZQH/lG9FLalNy3NRUg1q0Uk013bBgFd3PlagrnqYSI0f
RmNuY9jPai9zI+3ixoKFFtcKgQ4LDClkvJ0ccpr2ZdJBgY8zG49M1eoY+lm1d8LK2TXLmt5MpvZ2
iJbPS7eycKnDSxhoec++Vny5ea9v1iz3To0ddOzHFnXSsFp3Lmr9s1MtlNp01jtneHlWlcMBPzUv
65qOAGzq9NbGkBhrAB1nHLEgVdd53ts1mD05cloaAXPvBkzbmKxSBoCKSGtlO5hlWHqXLfv6vB/S
DdqGgXvfhJ9NrbPXSHtrZUVy8aAgUJWxfAAwZl9v+TAJCl4xhtpzpWmE6uRydDsau7tpvGNXw1jR
Z+TsVfgD5D4ro8An1l5mMAcat2IM6tbNpPjyfTjhluSQ5c2Me5z6d1RzUHI2WzEWcbnLAC8fmRuP
flkBoijKcXet2thyN194691qW8DDllTgcZgKHrU0nD1HYRQXe5ZvowrDK1HNVGce1TyFWNIDMe/D
G5qAgqihp3BjJb4bUU0fGzh6I/TR9sZfehOMW5EfMDWIuGNZEhGUNjH7tMOpr+2vdoUyTcoUZ1j2
aq35neDuvp0Bwd3LjrexVvhFQgUhvigm1HJDRF6dDxsFruJmcuR9bpHdVnV5Tj3/Wx2E/Z75uqU7
i8sfL9euEuY+ndA7isHlLEML3xXMypcil06ue/i11g1B6eG8YE+OuiXBwHu1YrScsyy7ikugTNE0
oBonYJ+APcWgE7gru2ZyyOgI28LkchlalhMeqCTWV1irqQfuka7oWNqOH6MvP3LfpXi2vQeANx9z
Vv0bjpA33KK/UWNTwT2etxy1uJIxMcfD2E9YoHLzbhXa2gfzhIyy8tDF0gqUQjwu0jgGUm/X0VMx
TNYq5KCzVt9bx0A2mdg27NgKP3PvfLSWdOE3Goet8iZOXsEUpx3HwcEwqTOB84UisBFJPp0yXJaR
61Qf1VCHDzLF28I0u2dnlrFLttcXFi33/hpCKL+uCu3e3A093aRO10kqeGoQnB4YOJoUfPlcJtmv
QLR3/coWMfDeMdJg+n0fRLnXQ/DVjUvDMTfHEyJWGfdluGllFQvZyM3ajl/NQHtlYagfWWtk2/bq
bO4bI1ZWjcdkDdBKVhmmm6pCC8jEytgiE0qn5H2XcYOOe915MxQDx7/gTrNOBjM9lr2UUvNp5FA+
tmzje82THJ4HVFyzabdVP1fdJhv8aGo9NqbiBnhU7LHyYxBThd6h4hAwLLQbqVX4LU/opdW3+J66
vQNKO4x8z+mOedHi7+auNkR1Lzq3ZDRuM5AFTOQDdkiv7HdlwDJi1xlq6jBlZUhtbPT5FJatpfOd
dELRwlTkNXKTBs0BeJ55qyH8fPSYMtVAy0PYo1j8bWv0P63X73/V1+KV/n9dv/AnwwX3uWz433/+
Y/+3P6e/6mtfy5/+sP29u+VB/+qWx1+9Lvinf2t/v/7N/9v/+PcGmH+rxLvmv1Hie1wEfU4L5j96
jfEtXv/dH1o8dCWTtZUgCQNb6U9MJuhK8Aa5eFlA/WEy5v/+YSo2fwO65At6Xdj1elh0/zum4n9a
aLpXrd0R1Gteo9F/bcvT5hBkw5ilxCOq9Wxeecq2vMJynCIkDISlqPuc9dh+NoISjH9YUPwXy1SW
C3/W+0nRuyEGVUC+th0SDL3uA/5hoYkU3bqKHvJjKWmY8FN4kcAA+VyuJVlid4CgN7T4ayNQRDwE
2b0r3CvXDpKac+zLCk2dYRgaI4q9ors5CsVCZkMlFhy5HGKbvxjkyLAvrxbGpVyvN0nuL5rPZWNt
bfhG59CHh8pPyQ12yag5vfu9qgJQNmbCNgdU22V2CMiI9Nsj1Bsf9jtkuGCayFpc+Za/N2L4BAdP
tXu1dXoViEN+TCizyVQ173ZYrTvC90DgNGmLBRYDD5vMYZ7HQdmkunsSyaqNU8CEJ5hPeZd+jqmd
ersp9JmszTFJ822p2XTymMsM9y0zw6XGyM3In93Ug02uKZqYp6f71vJpRfPTYErv1tDAaFLTYZ8+
TqnpEZ9TZetQ7lua3Ml7NLONkZm2exTO9W+mADP917lTTbVHNiUsSJUFpXxLxl0zET20HjEFqx3E
9DyIlD1/6SU43wFrpR8l3pLL6C/1toYViTrtL20ToVUFrysuNYM78jRvSfPQY+Ctm4E/XYNNQOxk
O975jKx9rMzUPhTExzgDWPVmSpLxtaPiPAiLfdmVJvD3gJRMuGu6MZAUEXo865hIWqdt7lvQNVww
jQ+gXOd1bCxh8jB6C27zxlWv+F1U5BdVFttQheIhV+4vo5rlIwHFOYIF2G6q0Ah3Gfai4wAu+U26
yDYgQOtN7nfVMQ+r4eQkxQETevGYFVI9jDOUkcg3Uh9rVEutyuQxfFTHOVyeQWxS7W2EYf/hXrmY
JazbzcwJ/ahSr9ya01DeEEfuqX9xEGDXvGAax0vZGiLbY9gNPz26B7BSJJ28x/Tbvqcjj34GkMXE
IRvwcBqkME7QZPlXCy68B/ymy36iNeObbRXP0misNw+idRoDYf7MLU988wI+VA6e+h3jBBtmjtUI
5DNwXHv6lSR98L6iXG7DpjYXGlvS4R15cStX0joim5xINdPN6GTuBXNvsbPHFQualybYEcj5HGEb
eWcqGcTbbOngTvgVDRHWNBxDqaCDOkvICaPun3vgZRd7cuuDskv7hiqX+Q4oEDu1tHEfmiYTd7CG
5Sv2G/nGO1rs51nbNxpD4gHTeXOnaMH8bNLBS+KkS/1T3tnrfesOI4cqsus4H8QYJU3gM9EM2GQM
LEQ7AwPrOVg6+wF/vkeZBB+JQzF3CauDIM9PFQffC46l/nbs7Pw7CTXwkPYymedGjfl5yFT7rJWe
njCCNScAVNXWoPboDTVVfutGb7gZ3Jp2PYRyeTJXf7V2oszKe9cMkyM9mtN+WM2UyGMY7Lp2dL/c
sWv35DWX77OEL4oQeqxUU4JCTs4YTAA568yMpt/XZ1V6tMLmZnHNBUnVZjB29E9dTSSwVFUcTILE
UeVyWhOih3+eV/7OykxqNGev/YDWrm/Mdsp3hbPksVc504OsOfZmFHIf6k7bDxAPlldd5+sncLbx
gRckucyE7L6zARDx6Ezlhs/JsCG2Iam8cOS+caTXYtKv1Qtd0AWxR8GnxbiWIPuq+Qnuf9ivEPZ7
FgamvZ29mdBD2Q33viB8jjK6XAuOxgwarWt9rVbGCscERcelzEEKweMZuu54zpLyvkGnvLNqK32l
WK3Yr27Y7gCDk+6CCWqevVyZ53BQ4Z3B5u5hmUfNg6JfgONhbNrjqL4UrW5oPOCDCnkjxQeHwFzG
yTQwNJNwPDU1RxpAK3nMi1GddYtU5NvcalBbwdqR57JaRzx5C8u12ByMJO5bb/kEKzZzVjWuaQTd
S3nol779YFPJUk+qE88SOA5tbf2QHNmPRe8SnKdt/VmQJXlM/cG/I9aKkAZSnLjOotqXvtIhUrO/
nkcG0/em1qyIMXU8FnmNmsinx7+tpmn5CSlbLjH5S/dQVe50MtJy3Ce9GO/GobNPVmFdUUZt+21y
3f5+djl/LBRn7O18zh54sjVvXqhrrGGV/7WQo2TRMvR47MP0J+qHvDJb0fGGhtb1QGOu7fGsCnNA
aOTnjEOj56QglJwiPJDje1OikQGNA9lHm4FB/C1z2m+02A/b2gc7FbhljjfSk+qrcoh20g/bfg9S
jCpbp07LDztNg33VzslZiyS4GYPKgFq+dscsDJDEFQzexeL5hpo3FHcD3qiLDMr+rMQybHXQI0zX
xnBOBiJ80lFo5YXPSXas9PeAIrnIatCVWR3SnRX19qQfmrQPbleccr9MWxc6CnXO4zrkNb4ppsF4
zjLXe2vzmluPYrnDzG1IurSmocHWtSaUjZtBDeC3su8oUq64LYFsVUGxiEgmbrD3BwQ6rokJM6MV
GiAORVbHc+0H7wryxs7M7XeSAfXZSCv3KUAIj4Q527fTEDrcBhfrnlywiW+nOl/fQKBGttivg47H
pcqvPWLWWeNDPaYWaYAuq+r7OrXsFz8Yxi1+HSTktnb3hicRMUOysMSsLUhYWF+N2m6gHJr9A/VE
zueQdQW26qFZN3oawyeiN+wk2t7amVknnt0E2yhn1ca5V0kLttYa5/ChSGkjIhFfx5Np3wZJN/G2
l46JiwJ59mpoDgcr2BKlbX9lOseAbCzI0MnQ+gcWX03cF/0SV8nS3zdr0dyrpWkP1I1Yh5mioxhE
rRFP0xqu+0R0/ndmAet5tkO5AKmjjSAoDf1WUqS3S1Tz6raFvzUkhl4LxDu/nzkwd0zUDlvc8tJI
DjKDB9wZR6+yetiRSLZ4oQlHf+ZNh0u7p6DlZOl5g/d6ulmQsLg0HY5TUrn3CbPpTuQ8rDU8aMlW
u/Plxm5X5g+cECTqUt1y6O6+0c1ZXsANOk2csKra87yrdqOjaYUZOJYZufAPFvmJiy/8maeCn78x
oHmozRIxvV2Sg25kwgZb0W3li06oo1ukIubKhnlWN3gUOmeWbuQTUtkSMgLGxlHv0eu6LJpWezp6
5gKqDeQwnxMYDFwcoY+sumaon8raK5PbCsYbhumZSbWK8NZPT6NZpC+mqosXx2IGdDAr4EJP2vbS
qCG8WZXHtJK6yZGOKDwsKYxVfBY1TzDk6uSY6xGlCFKcPMkBewerPJFrRsywPnDuTPtfdin9Hj+y
AhSCTYFui9tkpDWE5EJ3cgs2x5BA7TMC7XIXtojAocpJRKTtfMqqad2mDP6vKwq7dLzn1KMLQlv5
HdgUwW/pnErlix+0P1poLDRKtwlWisgvAfeso3VcDB/395TZm1bDfG7s9Z3wCrKJ8RA0iIlhNnqb
AuYnMjqboXqopr1JBW6sqAecOSLc5IUoiT2kL7wt9o72RyfmlKw3NtGwyChyOOa5fe5d5030LETn
caC6Salio1SADlkWvDDlxB6iRJrAm9VEhKGrExtzm91fsMswuZ9YeFyyxbG+2R00PnISdRmbXtXt
BBipeDVmQKFK25u1JgNROyU8p3mKyCGQbTGsGdETQ0QZBvswcf3L7GWYx72KKDmX37tBMTlo0uQZ
zKp3aIxkOSGem+esJJc4ppMTk3LhMddn+TFvfKhy/bDGQEPceHH0FDX1kN5VIEJ3oZLLxTX55WRQ
bPN1KDknNN2AEInD418fDf/5WOpZGD7YGYIFpgj4L07XLEG6yHWQH2XZc6wzZgr5ujXgLu2S23xy
zIoTKbNUxSMbvva//ub/5PPkNO6ZlnXFTtne7/jlfzyV4iJjC7M2+VHMVDCusgMznhfZJVChevzX
3+qfjMsu55mA/11Pv//MXcO9Kz34s3yrxqJ5ic/IAu5ySetf//r7/FPzMGZh2/Gda5e0SVHIX827
ql4WXDB+etQNmjV8JOfo6d/rEPPhnvgsFJoxzNjIL0753vhEwLirQLE3kux6uGanV21//5H+p5Wh
c/7Z1X39NfxZC/pd3/lPoej/Lf3o3zk5e6Se7q/i0fUf/SEehb+R6g4d37rCvLl8/6B5u7/RJwWx
myvpP6Qjx/zNw0vABU3jENf09ev8ISV5v5lXS7fPXzCxUhMo/0M3+7t8g+T2Nx3tv5BzeNj+Wc6B
KsPzgwuZbS7MQvev6LlOeGQF2hRosGuypSyK1BuHyIFHi4DrOeObmZY+jF/iHXmzVHdXx2XUBniS
4yrUciv83HySRHaXbWfN6pIx5KjIM4CYhn63n8PcPg2VFtjU8qbduAHoKq7N0GGJAJt5t2RudkNq
t741U6ymUW0Vtw3yxb1f28GemE22T/zE3zuKSTJOS4PaKG4n+zXPuiPWUu9MXg6pfu0zI7Y1aJiI
MJR148/19ENRM8ZzC6JsbFM0tpfGdfNE6eFj3TrOFOXGNB+1+aHUWr9jKwnOq7IT5rM5GHgEA12Z
rslARe7iMhGtB9fihYUZXyuKjvgmnIPqLONz4uH65Td5eLFlFRzrpOx+pbOVtBTbNOI+zxp9LWDo
Hh2C8yepfBM+C3dmSoOl9UuaNQ4HF6c3bjWbPTzk5LvUrNKbvlmNT065HfNeU0MYWdvquOTt64j4
QR/WlSacBeNL1gzDUxgO1JpQQtx9XDHNr6jKiuO7y84STUFqrFAhhLCgguEGiSeyzJxp3Q2Vz+ZX
dO8tCBqN8DB9507LVkJXxUeRD8MhXPNhJzgFfa6mLm5zs7sYa+qeVDdghE/W9YY63DGuXL/f+VTd
WhuComybzUVbHe9nql5xTWDI4lXSfDWiLEhZdnFDMiKJu7r0+EXnkCWNSPStyF3jIF0z2xORuvIN
nOy7GnKejyhzNitg2nm3JQc8gZEE/BaeK1vB5eXaw/LokKNzwrWn1MW0VbQIAOrZisRXpJg846mv
MoYHm4EKaPX0lWMw45E/XxllVQHnpZFZdZ977hw5rJNv065eN9QEaWK9QXluBkPeWoYtOMeVE74m
lAT2HEyh6bcE+cDjVJI6H0RknQblxWVvXLBJr6EoH9ZmJenN0pA9XlCJO2C74UOaLFk8BcaWFkaM
Icu48Tr3Li/C8ZPaI3U0O+xHk8T0uRl7veD1yOabdcUtCEplqMjuyuSVctvUOOHsbOU2rHzxEx9Z
r6PMnPTjSB1Hsh0XJd4G5FKWglWrH4Su2h8d9KA4bCbxrjALsfJchuVawF0EBwq0JvJnARNhbi09
OW4bLSAZqC+JdCLsb/ZoZjctCPcPFsYmTXKQVtLY75B7mrQKfkjf9M/KnRcTZU2FzysuN7xfmJWv
xTvFWGw4ztWUvlblO6yc8AXh98Mwp2bjNZ19FtpbfrlNh0W6F6KugD0k1atMWVHFRUenNG9W1b0N
PhYBUp6yOQZJPVBJPDLvDujXt9d+0g27owf0xxAZI+fzzBaH1DVP0W0AyClm5crJcNQ9lqMm3zg4
KLfrNNCDVwv/5Jo9mHQ7kwGvA+JJrTV3NKw0fkwtLEExyokerdFw93VuqnljhENCDtvvzDdLZbAh
HG6mo2U29L9WZS45XzbFMV3s9g4zFcCosLaHxy7IHV5Yv5TfSVi3tOoKnJLczBJ9TFKqLCl0mZof
iLQN6XnIbIfWhGQLdm7pLw5cj8/a9TGL9kKOnD8Xg5vLSocS6XvSd6HjjDuDvugf3rRMv1qigW+L
U4mzzQGKDNTUE5K3gSgkcZjYLfNsmKgNvTIlBpcpgYBtTFYszOYpVX2zYZSaMAp2gBggNG+8yj85
zUJreFWh+FJQyWiaJ0epuG3Wwmn3s1k+c1jW+75j8s7ZaOB9gUjiA/peKkyvo7dtzXn9udrjXG5H
QeNsbWuk1jobQeybgbzMpihGfeMUrVcNGH2nJv++Gin78YWhXJmvwUIc2MLow2ZgoFhx6eUlmZEI
rVB6FyHBQayi6B49+rEfPeGn99wWZ8ZxtR4Zpb+x56weW4B8j1r0iRWZuUy+TbBV6L/ENB5VaKIn
0vPqW1B5103yxMcqyJvq3tSEH6mZQBxJS8p0cuXAP8OMi0cDCx3+bG7bPO3iuVzyO22FGjOb33IW
7cvyToYmP66njJ3oSSlFPWgzPuoskCLR9d4tjH3vgr3bOrtuleACWIfkySHMdpS5mp7ZBQZgsEa2
q/ZqLJfKSHW5H4y2hl62JHch7aNPOJb9Y8ov/omxcz1OS+dC5mhp/Ura9QeH47mO19ZYD6koFtaN
C5YcfP/bdqBdWeEfGjc6F+uNNaz+McvRQ8pJ3reFhoveWvYlqTH+c5NVFM+sydX1ap27uU5rqqoc
qqcDXd+noO/319fzuatncUuNEsq0Y/h7SQPURalxxBBhTUQzwjX7mQw0BOQz2/2oa2faQlwqsk4L
muaDpbppD7YhPI5C99+6pKYUTbjjgc+TtxAqqDsMTj4+1H6iRihal8XcEP7IcEPYYfsw2WbJkkPa
VHCzqqN4NafrqS2cC06F5Lz64XzseTDCurKmO1qCPs06Dz9Fb1t1RLi0faWyPfthTomipNto9iAZ
DaqERm41XH4ZD2mnsN2Yvmx/l49SgZVhBCGAO23UILw3q86Di7VATRiy600TVrOV71cwNuu26yyr
fqqW8JViBOD0Y0YoEQh5q0VsVoGVIb9O4VtOMv0JPmHf3nsdC82D7VPrEK2ep6iWldBwbi0PPxDm
QwHRh/aKLKfeqAp55WtrXZ66Nt3MkJKWnZ15/q4JPT/OIOknsUynh1VYeOiHruhLqqOM7NVtbDd/
tzw+4jE0A9PddhPJCGyd3nWNfRZi5vi8r1OVm/rEJWt1uIrHCn3gvU3WN8be+Tu2/+pTjrP1LSRT
8izatDnRMvHcVv6ypQy0PPpt38S+HmFo1POjV6xv3AC/qFp9l4P35utJf0AjZ4Jw6AWPele/+aEh
D54fFPetKLaTUxq3vDmgcDrKFyuYeV/26hIjH5pWIXLj5gQer/Pi0HEef7DdSS0xVtCsjZoOU+tz
4OluW67W+pAhYoHYrye3NP52QP7/p6d/u333AwBb/yIHV1fDe/WXFNzv/+bvhyfW7r9BdfLwIfmm
STISytbfz0+ckn4ziXmaFB4JE9WIo9J/puAAfPGfyL1iS0WT+I9TlOP8BnqMZiVOV67rEUb975yi
iJT+5RRFEZMn0B1s4q0A5/9K+WpwJ1kJw9zFx+XHkGKUmMCgorqx23pqOfh0t1TYjVK6vq79I+fU
Koy4wFDxs0/IX7D/LS3q28ysnSmvb3EasTjwPtfOIn1U5YGDFbdZbmu8hcX3fHXa27pfzZ/STmcq
kMEM6cikq2K5DkGjvc8Nr34hoeNbx74Nx/GEFbibzh0a0zYDwcjYhBuO9JVHDThCRwxtYojwe92a
emkgNTUBXeiyWq0NDpkfI5M8d+kM39M4s9BaZCB+kavFAkM639mFAZLDlt05xirHy/IzlJnpiEzv
H4xOd8exLonqs+SaH8bW2FtSW5vaCr9P1MXuM6MYsM2m9fWnwhv/fXa5HWBxxrdPE0oWCpaZV4M6
KLFJiWQg2l9I1lSgaF0esRViBzJt1yO7JThyIt55XmVz1Ry9rNw9OXLt7/tmkt7NJHz3k1eE9so+
lEn3vHrNeqS3pAdI4nfprLZXXkrjTDR077ugyYqtNVvTmRo4atiLq2OPc3m1I15RjiKenCwb7INk
RwMOlxBLM2r/hvU5LQ1rLJheAc9Qd64lj/gw7SiKOIqSqMnI1oJErgdYkCNl8Dup0/ebTWOhS462
JR77nhIkzMHG/JOpvpFfIR7xr4Wa68m+s6reLcWTj+N6xw3/ilQF5um/NiBYrlu7cLyloV6dPMIK
vFCdSjJcsVoec5yT9rYr1AODdbc1c6bHJFPTpV8IS5h5LrkssY5uFtLgFCQJcQqkqrcpxJ4dveYK
tFN2gWU1Pw6edui7NQprk4dsNOKiHdJTEDCWQxDg1Y4tGSQH9tx4zgp7cY/lbHY77q/9e201xac1
tMJGouw9nJ7tdT0eJAEGZxozSWj1oTj1NgEDxwa1IJmhxcGp9I9MOhDY1tpx4SZI3A6106Q/0s4x
b0AllTtinsZ+tB1igny7M+aEZi9WMT9UMNSuTmGmSkckPiarYNKRskx1c03oYLTDYMGU61XHkY7V
u3xIJAPRUDi3UGPXE1MYTjlpsjbSPJlAj+ERIXKii/TOyxAlNtrxbkEdUNs0q+QHM0G4o5oJZom0
na1qVXXSwm9eoNneuZXvPlyv7As2DXODIkCksBXnVXKg5KE9xIHduCwE8cXyCjTmVy0W81K7Kn1N
m5wekNahOgaO06EvsLQtuZfupRzVnh6BhNb2pv9pTarfN14XPqWOgSuE4rJbqsG/rZZ5qWxJYJMo
xi0kJBettOXULfvpu9tS4RlJNU8Ec2zrrXQXNtWakinUxcK0Hz3L0WCqevvL8APM8wOvxk6tcjhq
eCNgEEISrRgTNoZe2jBSo+c8NfY0Z2Q+xvrTCZb0GWt/amL/6dwPvOq0lhLE5Gs0xhFXAU031KVF
raa9czKJsKiZMGUgJQyfUc47u0qDw+x6FLvSUR1E2sPUOrip4ELXQ34jwkw/syXDN8jr8wxqBRKM
JN5hLbch/Yuxq5LwYFB8GCDvt/4pAF9DF6xTBD9nr8ruwyLID2NSVz/RtsJNYTL6RA0cUG+71I7J
vltQii0fh7ILjuSa543i6n4SBjBB9liLxQLUTuJpwClpolPAVyQ7CYglv5Nw3CNWxPaPukinqMw0
UelJOHJDkYf75gZTuLFFsz7WCGcxx8npO5Z5FHRb1lceCkrH6M+fxgxGcbTs4SvFhs3qo123dZH1
UI0t+9UiqnhZBXLUSIv2/VK59U4UpKUtbLc3iTGZT2yrVhWzBFPtrq77dNvXrfkeNLrbOLOuH6Vj
1PBfWMPQxKWNyGGl84UX1zxU4/9h70y24za2bfsrd7w+PBAoA43XSSBLJuskKaqDIVky6iJQA19/
JyjbR+Lxk5/7brgcIjMTCUTs2HutuUr31eREoAULt9Z2Ycnx424enA30yjEoK1Z+OdL2cOXgXBtq
iXyeSJM5lTCeIoUmQo52fKq8pqZ4Q47bESfAlfXiGSRY0z3a+NdSXxlhHLT6nHPKEbgTwglUkRBM
iJZmnnsfCvDXosBfSMPf4xRrVNcY/lJfM1VzJkxsvM9dbcvo27tWg2EnG4yRcUjGqZZdA1dSgaBf
8jFvB0Jg27y+dmuJcXYULdN9J/YeLG+iVSjRG1RTmDBPDi3SQcn1vW2GOnspmDy/RLJs7hBrh891
FiZX/US2UYze6kk01ryN9Srdz4g3t+HcKaQSJSxJi0/LWJlBXncs82XAFen2T5alI99JrLYMNMba
vmNbBPbC9LpTaLjMrUt/41SOGh3QIhvnK5veYeYnDUGpsrJMrmM3frAmVNf2gCUUCySzR1yNy0kk
wvnV4PdrfhWWyV3UcR5yUt17mRcbH6K1sNHLksYeeddtskOa4ZxddJKX0B0astDtBiFxFNKoCCQo
LcBzENFqAtD/ZeB+fRO4/l1xDIX/p8XxzdfPzac2+7E6/vZDv1fHnv2LKcjNABFBHUqhy+/7ozpe
C2ebmtmRIB9W2MOfxbHJHMEEIOEwfiBv4/uoUP2fFMPYj98Vwwg0qDUtk96HyZ1qrQO07xSiudlr
tCDi4QygyxtieuqcbrmLTEulc3kmts+aUU2R2hIjNlj7GNna0rDX5ka7tjnyQtLxKHn7183aBkEm
4Jynt95It7ZJjLeOiWE2eFCXpP9grQ2V5q23MqxtFq+TyY2xtl6yty4MzHhjWxML4mPANW+6tV0D
ilvt9EEW9IP08q5b2zreW4dn5RI+AxwYT2v8Vb8BDFR+0NVIdKMeaxDXZeU95LEsHhqjQ6BHI6kF
RodHiOaSQ0j8Az2r5mHNYtshgaCLE3bTVhvN7pTVVIUTgZD+4Ihpa8UWU9gE0eClx7/7yXULdUja
KkQ3tMDmVuzid47rxC+qAHHls6DUgRkNxs6LXao/W8UP9uSk20G3Bp5VvZzOTTSyy6v2iVkxkFYK
UFzCFhWlr5v1cim7PvN1MX3Opgn3lzlkLALakJxVUjK3KWu7/UhkKCWA4jt8ygF/3chxiHdaFy+n
pmBWuYmp+YN8kO6KAsckmIZacmd4bXrQ8ugWD0oKPnPK4ErYKPoJ7TnoY0U5EZf9mbTzBJNz4chN
RyrhIytjv8toEvsdbbxbiXnuMDNWvXaVPp5ZEOcDo1HzE1re6oQNtHt0JKnRLINati2NGq9xE0Oj
KFiSrhcaIDsloN8QYVbea51uPnaz1b3CSMl/mxmhXwyQjYHDAQjol63dmIlLqhudOK4VrVoE1R5L
riw+mE0y7ISsy6BkrUYFm5FfodsaaItmosPetrdIcED5T93ke+aQqE3KjYMeCwHpr2ARmCuoRtCz
0BaTNMoJN+HWorq4L9tBZ0DmqY5ApGIBpFhhwAElhmnQ+jQYg7x6y/IC71LfWA2syb7UcWAQ5+zH
bTTtJqF503ag+D3XC4D5PKrlgS00/5qWUXqn18gpkixabjOUQfUmtUPtVxxkstiEEdShjRodrOqM
I/urMnFc1q84PiWcKzeESqZBCg39A+Yt/aWZ0unseJm+ja22v07cmrlIVavhnuz25VXlHFYQVNTT
FYnW0cVDxnUrUStzbAKNObhMUvS2o0vO2TCzzQ4x0LDgshACCJyNl5+geBI7A6ftXFjQuJiZyEmH
TTpNw6OB5/doz2zOGxgJKD+oADjlIgUqnllGauoaBKhlpPQtbX97C6BTv3ZjgR4ELSr9JJr+W6Qj
4N2iIrptYssIHOWYH3PmK+Q94IN8acPYRVsj+/mRFpoZ+VCVte2SivhAfVmcejBL5abQ3DH0B03Z
w65EzEuIpQm0QQO1VtxoqI+eXVEidXOdKqx9S6mQlSRBn7UU1ZccCPlaoxbTtbm4Bbt8ZidZkM6D
9hwNLWzaVNheSMsgmsjrESkt2bRUxm6iw4aZX9bTvZHr4qVpw7L3I84DtdrlTsW49low1Z1QdZtR
gTBgR2USFZ4fjbPDqHLS+1Z/DLEYzc5T5BZ199CtU1C4F3B5y9NSG8BS/E6CmqgDCzTx+NikUyR/
tSLOiyVYm1wf7acC4L1yt7LGC7rT+r5Lv8y0OUSGrls0DRsXnZ9/m2R/VwesAS8/a5LdfB3/5/Cp
qBH1NF9/MKl8+8nfiwH3TTrAmmjp38sMXOMXG9uIgWGEOf9KjfpPJUD5QPcKv4S7lhGYWP7TJjPW
0HD+OAQq7iWUCP+kMngvnMGqwi/iBCi55SUlyY91AZa0CXOBu5AwSZ/IXDjBGU70/N1F+StFw4/F
h/X2Ih41lY3WgX+sxcl3xUdXDVpNhNZyQIOqNpPbLmStDq6P/rrb/vylKKvq78hXby9lcVncFWCo
2+a7l6oKVqQ0MoE4DwlZrHlCI8HA8CjWc2AOxP1QiIakmcW2NoArqr95+f+6nNjwCD1gViEEX9p7
siBgEGmPjoEOsxwvRuG+SMSiP/+E770+cn0Jm6Yr3D72Vecd26tptLnXQ6EOthgvk20+05Sp/B7Y
IO01xV36Z8/3L745U77TosCCFChb4EESr0SfQF+7rN99d2akUKLSCjhgeFAnvA6i9hHoF6fMZjHO
we0AxlaMkCPV6ZyJMRpvoKAS01tkTdEEVE6c86DKE9uT0lODQwAqeagGDxsoypZqw3qblhtDiXo9
fHswVj0gLmlhfjbScc963CF3lugFmk43nmey6ldXSl8EzDDMm1j1HM/jzAx6kI7PMw3EM32XMdqY
VFkc7pRXXBw0oC/J7FaMzRt0+lFl39pdmT04Nj3hwYIjQKZxhGGiFBuW6xA9QK8YdIGOHfplObKh
XGO6HXZmUfxmuflDlVi/0m+879BK0HGUxanWp48RGn9eAn4rZzTIVXDTgqxe1D5TNqr4UgR2m45f
aUKpo5vGt/UMli3xaPpZRtFvqcicmwnCBtJwJzwZkfnsaiI8pXHS+Zw6V8TL8JXjsneZyBUKZpGm
+JNUdOkcWFe9pIz0hoigY+bR0xgOBwwx4TYlGvea5qTfx7hfQ0Isr2yMTNmWjkA3r1tT5GHWSQEl
JZXrXZRLXmLM8cQ3JCk8NfHpkORqQV+znJrGebJKV3uJs6G5LStQYFtJytWlEhkNVNCoB920qaCb
htAlg+yXq7BQzXWVM6kyAJHvGJpxixSKqSUpHH46lgI1RG/shiTXn60qkyBDaNxqcWL0r32ig7ny
9VmcSeyOLklMX6VMKrEJEUsHsXJWf1GypvVqTXgOw7i5rxd6AEXTnkMgbK+ojLuLBUPjgF1VXIvJ
dA5Fyb3AtCzZ9V057cvCfI3pfNF9T2AdpK45Haw28e51VDp7zayb6yXSqrs+nwMD0cc11qIaDHqd
67tmTNVr5djUmVhaqO4nO9k3ntVfoYjONiTqOncJMpwwNMlYCzsXJr6IMDNkMdNZ+wXI8ckqQoVx
d7yv5+yJljLnhiHV9haAjivkptBj44EuU888kKhzsTdM5qSIAPLDDADhaNetuporfY0iiuzqtpjZ
N7ijmcEQjR7p92ao5k8tou41L53TXpRqsEUdY29OHv7hnLIJ2zpRFcjT3UDpileLMhM/r4frBxoK
gY5hHZO1p8nwVWZdCRIz8vZRGI5XE11AhoQ9PQyscntK6ZBnn0mdYekcmsKek4Gd0Q9y8vG0GLE4
r9POXZg63jM5LCnnhqQMHDf+hMzrxROo1qKu0x8SpCoHYzA/wrA7azKPHrNKZxLvcqXBMZw6q0LJ
H2YN3GSAU+E4ZBjwSSMHaX6ttQquAmqlgOSrLwSEA3wjF3cG6BwNx5DJ/FZo+j0Yil3HdPyQathd
KqQ3+yXj10aho54aoblMrttRC2rVVLsem8CndiDou4prZ9tOO1VH5sW265UHn+FuK92hveu12mQ+
q8tjUowm2JKYo8Zab8cx/vONbdXLTZhnHa6jsJ6fKiHzMwvSgkzWQyds2K9NhdTH8KS2GWky+aRA
o/3SYyii5T5mA0C3R/9+E0XEYuSFKG/aQh7zwXjKCrxORijQFCELtxpJQ5ABTBBmmryOwuxriKYL
eUG7dXuDEBTdqj+nvTnc1hzXvY2d8+yxJDi3ycwxg5TR/OgURnNgVJsF1biMHypOyvTCG15Zx0ow
+7nDAwTKYlqHIVr+IsiVpE+1WPdErTkIvBm9CZDW7aaycxPxVdxtHXT3PCfO9KUoZgQHqqTT1ZZ+
hivg2Y5thCQerhEOa4DvhTVZ5JGweuSSzMx+ca1zbiajQlmwDBwZpXbAk+tgtXd/dYWJwmPw+N5V
aKf48KV7ydtJ7AnmKlBDWjNUkZkkvMyCWuB48QGXI6E7U28fbGRKt04iskOsRdFHaW+LKJn3+Rxz
+Yd4ehKsXAFuYsnJe84vpsRYYOskAWy0LjMeLeVsHaJQXjp8qx+nwYlviHhZXtrSDCqoBskmrZvm
phd1B4on5c5DJ3VARAn+2+EmY/P8Dei2waSgyXY4Atsj++N4HFKTNUPhe3Gu8OgzJQyMvO2/1RX/
Fvl/W+SLtUr8sypane6/O9hXK/3//T9rkX/9dUp+rX6s8N9+7M9h+Nq6sxzb9NZAUur879p9qIzR
v+NSNxhuozT+s8o33bXfhx5EUp2RR7V25f6QFItfTE7TtAjJGYHgCor7nYT4p5Lid3Wp7nm8PIFb
FuR8ynDrXdGomJQuY1Sm5waIwfzJYlJHfqnldtZWxzNYsjqPbGTzIUHUUWjHyojhEvmcQ8oD0Y/6
HvXI/KXBpkPXQ69tf+KwvFxNpeN+5Sl1A5oWTrOoQ8m2wvBwk+XjbD3ihlgkaQXMqg2GXzl2Xrao
Geanvc2WJY29Wz3ROvd+IGMGCG3tdBAqH80SkKnvjEOnv5L9lifzusRjZ2/iSi+LU4ICz5+kyxYz
MAtbaIYvdjbFZ0QxqpaPseEuK/YTrbbOUw6Zg3IUE1eBaxaPhNhKWlc52HXldku/L+tBGoXf6gXE
3IRMTUSHuvo11tpm56p6vrONvER5OI8pP+rM2vKxLnEeXb/dVf8+gH/7ACKb/+kDWDVd/D/+p6bK
k3eKFL4sfvSPY7b9i2VDcgB3tB6r356033vuEm2JsZ6/dUjHqxuGc+4fSAjC5Tjk4FEBCm/wYzyf
fzyE5i/8UYHCBUj8N4nLP3gIOX6+O5x6HKUANMDYh3uvm+6aS/fdWcpdh6YIudIDri0Q78Jb3exL
y5w7MIaGBmI31HoFFtiNga8Bh7GOpYHqjYoG6bdvjABPduYyFdm2sqtI0dutBDDCeigLnSwKs/1S
JLY80+i3jhiOxA17rnXsLIBJiEuoU4GsmcchEdQhY5qTZ5TlWKAYCcizh4D+tWxl/VrrC4R0SKTQ
6SnO5VnEFAs48SGteysqtiojx9n0lSHrvZG7cbNtsxWq/i0rNKPpemeoznvuackBdanXkKquldPD
W2hZkYjpoQHfcwyzNRbWrCeXBE8SbSrYD00lT44Heb6VugD8WQDAF3Gp+aJcIwlgpk13MxQ94rB6
tvlNDZUWa6oREXEsTHFZ18FP7ponWlVafzCH2HxaRvKpShPKemvqyDLAvIibyFB8fiw6RKw5Ob8a
/duqy/BSAMTMBNovabPmd5UWvkmSrQm3CpmKbiaz4Y+B4SfPuLLtT3PEz1Fs8wY4ka/pQmD97nQz
YogZxpwOexKtiJrzJj61tUYzy8wkMy3V+exebhMl1o+6SW4MdLkyduMbM0PSji1QbJoxgVIYJsPR
rDxEdCA3V9Plej0BSa3xbhPs+4D7mv/z7Qslq4FgXUS/3rPRr98wR6vpjq+0bT845LNP5xHnkggm
cmCLAN9xltxrhcFHqAAXIbQcYv4u25zoQeJPuS5o3XmP31JYWdQ1G42CGyV71RUoPeu15nxpnJYo
0bxYNHBq4/JbHKKr2uhD6T3P+fjQLa29m4EsWCT+JXCrjTa9d4kdsjAoK82vRUH6gcUNuMI7uGsL
bvQMumC4A+3Bb1rCNbfJjZlq8E6I+GKMMN3FVE00F7qBu8FoCAzZeGZHYJfHROkoLdFb17nrEieH
sp2bTzMIIA0HtraNO9bdF2xeyKIxuoqbeFQ8hMhN+YKrGrY6jf9o3cbSGmNhCeMq8TMPLtd24BZl
6M1jea6QaloHEN/mUUuZ/DObN3nfydKTaVdgUAFlCpIUjiodxE0oehJ7p9XAUmLuZlNc75PZm+rX
fv2KpAk/qrDxlEvR8ssYSid7z0Zrhqia3K5h8La1JepXMF3h89stnGgu1zcj8q1aH/Z1Zv4aOsP0
MKLU6v3RiOa7t3R0VJTkYMeMhnZvGZKUHly4jtRV069zyQ3T44e9yhGJcgesj0Sf18keywgXD34p
X7bOwsHeqF4XlzRxZddENZC+Iy4WboZnLdUHCBAEElWbVEUFlgCXh9OpyPpe6CJA5LPHgXN6wcfR
yQBO2okvdJ1n8TzoOjeYZvKQtxmsVsCQlrgMRsenJgGZJAeaoEc3rjzitHLvvKg1IKNLZn5DBf8Y
SCfwAIh+bhubd+lbyrTWINXadtHiBToB6QeSd/UdDG6yLdSkBSaakwYDb8bnNSfmc7ulnft4CyCY
J8xoUAhtFpMVqzCQ3jzM7YQ8MCXlL5mJzzOR3zxkHsuzLDNCJwuR83veMggRT8Oi61gydJp0l86u
e64gPO+Hmhsdhw8AjNeMIKuDxzF/j3/DuLjE2944VEwh7ou0WR5bItWtw9SzRJoLH3jKMu4ozUNu
HeSGJi6hDh3sFFUuUHiTCJv4xJQIPpxOzF9vGQQ4DiPfUp6Ea5aKwdIswpl7KpQWNzhB4XytTUvy
io7gGa5fSfil6mdxgdU9oqVqIO6uQzDuF9ESqFGtmZQj7n9SllBE3SRASi5FwZmXtkG9aqO99c4B
MFnNSPsafr3B8eULkXvJPolt7m74CxdEgN4zyE2RXlnIWg4orxj4vt3zloEKw9c7PjOAyfX+710H
gkkyEKqOiJLPqa/L3jAK1SFYpNzD/t+yvjVtJ4M8Ntf70ZsJaqyV9J5hlfBFflvS0lYkRVC7I7eS
HcqmP6ayRaKt6NY1zKA1cWc5PF15nnE67kcuLzE+u7cnrhik9TySWgczRtlNvHtbWasqFg7efame
RQJl8HmMojl7sZkiJ35urauUGMZkb61pmx6qwm3aq+JexL3hA2z4gmXIOzZ1vW4GSl83Z9hEMAbw
UN+Mi81CxoiKJ1hWshabKQanEyNTj+cDy49ZjIGIALXFJOTQgPOdavGuirIlys5wwynikiRefr+k
TB/1JHelj3c+emYrJQe+swu+olJfQ0z6ibWWZxKyGktMtcFawnTYVI3zpSqL5yoSzckLp14fNzNC
E+oQs7kY5NpW3roRwfDOLwxYa1DPvbxjgqiHPLvE4jYKsr4Sorux19BcQGORP6xBuomryNQlHvej
6oytZlTq3K7Bu03n+roL4Gbc9MVbsFHXzcc27mtI4B7dhjuMTZWPn+4Fs9SupuG10xzXu6utYZOS
nhS+5SjNTl5r7BP418IjYsqCVRXZqWk5DkFVOgrXWsdJg5duAdreIlAD3GOlPka+4iBQwccIfmrA
5FZGBFppDB7c/2Wn90D+bJIrIBO74zyAi6cZtpsdoKYHj9uy8SOAdUS1ubF31ZnWciunzj21qcc2
l0wICCatJhVgFE8YbuBVIDy6TZZMnlwj5O4VFkVJLJF0yrTGpVdPBnI/t7+CC8sA1YwwJ7aaPX3K
rSp9mt3iiYxvlZ+JcbXuVQaGXuvakYzSpfF2cjCH39q58T7HEiJJO0JCWLjJtgoqdyCbmXg0vEiM
p0kSm6cOgLOskQJaFmKDnhT6a9nE6XzN9XK+pJ0sd0uP0AIjub6NkvHJW9M2MmhOezccP5JuvOZE
uZ9BDcwkv81lIGDy7syM9Eijs5v7FvgZ5U/pbO2pmH5FZ3zRcJ2hymvba5nEyz3UK9uv3L7YVaBu
96E30HX2EmsbqfaivJ4efeNQGW3bQlXXZLSzRMG+9e2R7MSIuuHUF404GZivQJBV7THzeutcmbA/
uGgleUDKfgS8XQH6U3KrwYrepKxYTIWK7A4FDB1zedKWTNyyCeBbsaA+RlJzjjnusvsIFK1ZmuXB
4ES4ZzRLzTqTWjBFXn+Auwb2IJm115bRU0CHx0MwapNJSjQBYCv9IWvWpDuy255QLWvnuajRz2nS
5edGatfP3ZDThA0Ng5bmVCowBF31IV15AYCBcOhyfxvZxWhCeXBHU7vRsff57LwuqBRr17sghdMq
K9Bluu4nLSs+TJrK4PSA7/aHpml3GskbhL24IzLJpev3epjFvi0zGtio3YOF4Qi5HnF3HEr7Sx1H
1tYALOaLWs/X1UocZ4S1n8IGEGMQVu30gYp4S3XdUAkmehnMmZ5tO+ZEl1CxorDyN8WWDn2y0RLD
PegtgnJo+nPQGjQM7RGA+hmNEY3w2uyJB2AhQWOigs7WH0CY5wJSRt7gcXTBu6YPSSjQGIi0WKXe
SztEX1j8ox2JjipYpKiROw9AnaM45JRfofDZd06ssTA1iXOQsKaeNZpqkm0vNBwcJyIOQHtyAonV
lqZFdZ20PBcJsubn2pH5cQHVRoTynO1wdS5b8FH8Z+qiw2Pm/zRGk+QWN4vK0k74Yin8WEgLXEkk
/ETnSBU38dC1L2v6wxVi1GsnI46TzSt8LHpD/+CNrdNsYJuHSI+UmuHCO3WvH4uMZJKTpsRikBph
ph46JbNXI1IEjcoJ4LEZ3oadN1LNMj3bMGWo5Guochb1ME3Hemb5nqFkbWx0pDRaSTtebN/ICVvZ
RC1GzggEv96brwiE2XXXiBUHILs0ox1SCrvAO9rw/+mxL/AK7YIk5AGnQ7O1e2rQuImptsqxpRBx
Bou9aY0Mnk+6WCZCVQnIphbN/UKNlOWMAf4uNc18n9lOL8xe3SEgF/Dg08V6d3YedDAzjYoPtYNo
lZ2PUhDiEMmz7sQibbblI8YAaR3nil00mOhjZafBMoaH3hoAD8bD6D2j6KR4Z5LJNi06quq3JLHI
WqgmkgjdRx7CiUEsw9Gz9PS8CTRYqeyUbjNBwqVP8eVbjUxnf3rol/VQUs7o7uNwDQMe0mW6W7eV
T0kJCKIknBGnEyx7CrLvGiB/MZc13o9luRyuAWRHcIyxHO99Ul8sNALrBlfbm7HNV2JUSxmfZL9W
XuXEu+c+9M5EdwzaY2ksa4x8EfO2ZtCNj5PncLUiEx+uby+EDBKlzr9ysfg7wd1zRJIOFa5prOlz
I9BjNKZjHyWHCpNn4SM6GqJtBJj9sMwFr24bSNJQcM209UGBFF9+/mFXssIPQ31P2HA1bRdJmK4j
2Xs31B+8KNFMJkAkUQx4I7x56luSfDKmbY3t4SCmtYdUf2rVJ5j784Pq6DComBN4QoTgQ1Gqv7n8
4q/uRt204G1arinYPH+8GzUbh2bPbg8RWqPYc5BRPHQ0kp5bGjNcBG09tI6G0X4BGWoe64FTQQmS
IN8LADvkRrX1enLiOPLzS/VfvBdBtIZFvIHBdJtu0zs5BwPeHJ9Ckh7CCmxzUFSVOb0s1tK3H6x5
WQhCLTyK9qpk1ONsCFP5u3C/v/iuLHrWUHCRCyBlNdZO9Hc9rjF2RLUYXXSwJ0/C4C7bKAl6T4TG
jaAdHHEmC+s9MekxYcJ1uJQ0fdvwJio7cZF6L24YAHP4+seXhZEiJA1Ot+gY3t9ApdmHFR6V6FBq
nJAgpJFfPyUEIXFwCXNswgYHhL5YOENoQ1S//vzV39am70UpXAxe3ln/4qQK2ePHa1LObgbabOGa
zDkdAzyhMzOjVski5QuJZxu7qDlK85K5oXYU6ym1tMADQolUtXFrOfOQLRs966L40K2NplrRy/8N
thBH/RKF4LfL9W8n+u870ev9+pNR0FsnOviUvc8HNHHY/NmH9ugos1mtm9Qa92eId9pvC8+kbqBR
+lHyxZgITTiDGhAzOuQynt3f+9CW/cua48egSDe+sWf+yTDIcn8USa3ypBUHxQoBS5n9471IigFm
3TqTa5wXlOvRsk/aaO7QvBj6ppjba62zaDUV4OU3gwQsu6FJvrzSPXNQhCTi0A61dg5579tZacUu
mgkld6ulva6i8oDpvz9JNboB5GPnqupL7VGVmAdpGiM6SOTq5Cucx4Ezx1MqIWbQSEbrIGpVbYoW
B5SDy44j3CJ2Bi1ZeIJDaOJMR4/J+8bMYUeHLImvHbNoToYH1SNW4f24qNuprYJ1tV5tmeKg2trc
SKTgvps7J2ExBe8zL4gj9aWnURv0ad36xdCkfmOW8zUIVMgysHw5cTH6IWZH5a22pbQSO7pQyx5x
LJt9ZOy10i5fvHlIt22dJQGxiFsAqLdNNltb1n1or0ZHL9QtaEXYMCLMwuH1C6xQXCmLM4H0DnPb
Jw/En1VBIcRCE9Xw/LGaV/tUPRxw2902s6ej+cmWLcJQsaEGo3DRaxMLi23S38U8NiIwheKctydO
Y9exoPajLn3w9GLcduB5vKI/4JpEgwLHcjMjM/Lx7emBEeoUPimz63h+hvc6+wOGui1Opi7ocEkF
+dxHfmNrDiP3/nPRIrCaJhROQH2v6iaZfRMHZbW4Oy3J6x1JcWUA/odAGrbxjbKdg0fQWIcgxZeZ
gWhpCbXn2aTBwJHSxtaEycvsof8bFjE3GhDTo8HyfAEagmxfyCHAnw/BYRI2UBqNc8OkW3CFQVDa
MtpPvYOdkl7S1hPpx3qqrStFcgJNBfJSbFMFPWwLYpqifWz2LoNzji05EuIsVZeqdZ7ltJxTYySS
HRvcTis51gp9ifduXXxa7PRjqjprn5LQS+d7BFeJrOGkDO+rRdc26AbPDrgnVlHBxhm5JWQT3cN8
QR4SYWDn8EPoYNTR7hCLb7W5DhbSPiojFR9naxFoHNqrScs+L7M1bckJJ+U7Ye5qlzRNl4W0Bryb
ZLmUqQrcqLYO8YK1zwLu69O9VEEmmg9a2yF+c6cwwL4ET7+a1R4RibWtgIPvnLRodqGZPjUIOa9L
PS52pvwcea1+miJX+XbtaJfcEkAxevjZgZsnyUMxkOxXto5O2yGe92CTmgvOBRkIF1bbgjIwaNvl
uoVDsMN7Om5xgjm7hYNPYMPF2pYT+J7O0HRAPc2y1ZGUbykvY1hHIDPjzkRc46bOUXCMJS9UDgcm
NjB6B+OKo0kfaDTln8BSchUlIUIG7Q3fibyRsCbYkrpdUTLZqf4E3gkwtSYcnly17Lq4dn2vx1+M
da58zAgSgzXZ6ydBO8TecJiImV9oWUy8KamF9DocnxyPbGvOACl5q/3ZRUTIH9TOZZXA382cG5o/
nxPEGzgpOA0OCjV6Tx0duAvXs2aScXDhVuMY138jnVfiFazs02pn2aRO90huwpHN3jlJIBsrHOHB
CVO1ZcJTkeYxEf495k5gWQAqDOX9ij/zIWGkxXTgLof0utHTROznRPtaWMu8yxtcpZ17Tkb+fOuW
+9GZ1/5EWe7cSGt8RG51MIfU3bFrSpg/ySdVYWKMJF1kZFsHd6AQzTNG5aPsO1/oct4aSQUPClCs
r0dOcz0b7q4vjE+eAqsooSHCtWjtx9CII79wvW0/wxTmUcPIqL4OLS06d4FmYjcp4qYcMzIGYdLX
c2PYgiBtAVxkdYBSRh5iIlaq3PjoOO05jSxiKe3pWY4txktc1n4+mw6kr6S8eN7wkgNADera/Qrn
BldfiORxjPKLIfor1+qam1oap6RCVWlXVc5cx8GM1NzlcQji2YylD2zzt6YhEivxIEjaS1/tLQtj
SYhfYasIFj0ziSINYmokMlXcpjmq09aMP4IB9y6zBcM5L8XV4iDMGYxZ7TqZ0+ORvGK5LBeaxckd
gYikgrEJTVo4bbIRbRPg43zX9La90Qv7cZ2GBU6nkqtZtceowYGA9V/DP02eCdInPYgL5bzm2fRh
DPv+4M7kGvUG47Uoj3e90Y37qZy0HWMjmivF4N12+XCnRy7eH8ta3zjxh6oN/c4GTVDATCO4aTui
Y5xUMm5Y0PKjiLWX3iPLRWFTNzErsxb2/VEOS8NakzRYXELnwPqbnIjVQmGrscoBvEIfClBrg9kX
VsFi2ruIdhNRJTW0HKsW+8hNX8YhsRFaysvctVdtptaww+g3U6vdU17m4dpqWjZW7YidXbmwa61C
P8macVpFsBlG7SrcQSsCSi9nLDifcw6i3ZOFqxsRJw035ZWHiZke9Nepw9M1Pnec+IgVTJF5pvlG
cfcVksCzxgPP6sZMOnjIkBzbrXlQwFwG4bu1Y4RPZk9hjHBynpsW34XdVqzeGZLPekywVBmh/WBa
Be2f14oMw6U8NebQup6fVhJxyqZM80SLQUjWzdI0/wo9/v9slZxKOfr8v8vrW2DHP2isvv3A7/IO
qf9ic5DSqY5deDpvnoj/yDukQHOPLcJ0OG1976QQvyC4MDh8CdfhHyum5A95h/xl9UPSQjEN2qUC
Fsk/kHeI9+oOlwgOiTQfjSES/f/ijYSjFpF5YdtHcBx1GBjpkhFwUIcn7JiDjxu9ffEQhBO7wEiB
4IbwJPOufmVjnp7sEt2F5aTtC9CB9iWa0C19dyX/omP0vjPAuzM4Xdi8QcN0nPcdC6+XTShGzzqm
g1V9smMLK6Mel2uILw0MleTz3qt1qom6Ihvk56/NuZ8T7vcnYLlCWGhUcSrCAPImv/m+KwCJBOVJ
nygIauGHQoWM98Y+8a4zr6mcwKlt94wJoSSOe3bcq8nySONGfvFxWsrli9u3TCrqZTZPUU7YZeb0
ObGnTZ9tG1U59y5V1OyTGGAfw7HozqI26x21MqmSJCJu0qlgnbaGtriNjVnHhSZYJnRJ83UDe8QN
+n7BA/a/7J3Xct1IFmW/CIqEB14BXEt/SdHoBUFRIrxPJMzXz4K6qqOqerqme577SQopyGsAZJ48
Z++1vTHVusCUDjV17hhviG0R+jLRDmjjNVfuYIGEoud4SQnVYlBh1cyspekVewz0fgquLWV2llni
RUOiuwPq8DQCXy8ZynTswa7T1gTv0XjQ0q2h2zemOi60F8MCN2KQ05hH5eZOigjymOKjTQnZqIx5
ea2BtOPpw+ZxbU85RV+/yBePiC9E9qKkqY/CeAtZIFOWxnGx7EmgdIB8GhlzLAMlMaak7rJNUR7E
kGV6lOPPIxFOOPSBXNFHHtPI3TRir9wrc4Y/l/EoXWYU3jNS1M4pUd+l8kkfm3RXS3caT1uWCAFP
Ri0vczZS5unmBOEic3SxZyoce0EdS1Quge0wXt1xxtyS93pBYZJkxkT8Cl1/Jt3kMLZEmR2pAw1Y
9TDFg8m2X9188WCBOfV9UfczKLfOoGVu04i1tuj4IBGzvseV0O97OdnIgQztsBpe8qNLDbUvRIbb
WKmIJ9Un29KtLquxKBO9w5if19zLI8+W7nvqyvZIKPa688tWHpcMsOSeGLyEAKscf17Ilj9TyHN6
PQBQ1aE0eDDZPT1+BhFKk35K2YRK105/WpNQd3qD9D/Iarf6Sed2S/pbO5PjUEaGOYr/jpBZtdpm
4Lgk+0Y8e49pouXmLYFno40nNK6c6ZHA3Gxug86tGxXGKI6SMJ9jXCkettofdU6jGZdunx8IT5x+
oDaotrhiSJVp0KJjFDeAdPrsHStFSQxuTU/3bhhIHFrH1QQyaubq1Znhil8v0BneSUCHhh/749zz
VHSa/KjjMS+j3pcdOnrJrr2T5NZpuwbbyI1a9HpBJ+lKfTcqWmmPiwkQ+YhdA3GmFtfbyL3uqyTq
xzRpv6GvQe+J42BLBVjsmjHpVIjjypyVrUDW1306ZS1+A7N5Hxr6pFtzlFt9Fs0JWUtxgQy0LYaM
v4n1yuq7fB1Jexibjkg1w+fV+u2zLWlsPwI91SdGnEO89fqt4UVmTo7vNVO8ew4+67Fr5vWYNVPL
pM5u3iZs6QiGbMUkL514kHcDc14tGMU8fhc5lST5sL1NTEyMnCZsjbZ5RzPB8Y+x/br/tZTTBeB7
shhp7mS+WZQKTarbOTPW53IwNdD+xWSuEF/mmIA6sKWWpS/v9jgySzt7BFDyR5H4WxMDhhEVctDo
66Re64R02YHEFbt+B59bcev063DV9Ktz2w0675gRUKPtJ9gq+WabbQ8dFuw7JFaKY2mTGcPGn5yZ
Qib0D5uGByujTL/r7RJuC/K9xo48BA4nROUYEXATpNV1paG/Z0mETxoYmLdPyEI8Reo9pmMalHY8
RvXQu98Yt01kX2c9LNsyIWAVt5SziIDRqdfTjXGntwbwym3qLOjlPSdvgtgTBOUw/9wV09B8H3T5
1Zwn56QYJtsHnbHWw+iUZhlpkAPVwUNZgdPDy0jWMRo6P5adx3sdRPlNaqqY8akGtCClnn8yUDE4
lIKj/QFcjkQaRWjbvpmARhkNVtpSt+drq8ybK+gHKUltKxZ7asvyNHdea+Nd6vUrE9zVyWcCiwd6
iLWngn1m5SP7S2T55LqSmFW5BgiQARsJukeYk4t06+VQTya0WF05eY8dDawKSegWKEcW/KEyh5df
++j/+rL/r74sglkqin9fON7/rOsNhvVeZ+9/KiD/8YO/64MtnLMobyHhI7mHCYd0+PcCcqstkSD5
SD+2GnErj34n1hlf+CcHEZqBFp86hm7q7wWk/4WxFIpj3dNNtH7/HfcbC9BfqyTXsjZXrzAsillM
uX+eE5TcMQS2CbpBbl0s0ag37NZ2ubHFYog6mzpNN0MIO321n6QDyQnJQ3+yvIZ9d+0Q8IdpKYgC
7gZZ2lFKx0wLhiIZWdA/WiXju8lxlqtq0UVkZah/grXC5oeZfiCfSl+I9HFKGnaaObBrc8pHs2Kk
MdIRhuXrQQNF+Yyurj8veZfeUleLnaut69fY0ND7WCiBd70v2nyH7LUDUNuTDi86nzApfRbu+5qb
DiYfnV5f0DimQ+xNS54bXcw4GtP6mJFE/lPT9eRjWrXsZuZnXu2lyccIgIN1nVZlTCSRyzINZs6H
QUDAOUIEjRKAUVN5pSB73GVNKm/UNNBRjnMCH0RMPnMj1byjZKJN4Sa5Cm2+lHCGrR1oKFfxUFX+
HPhtLBBl2uZXr+drxvyFimI0UrGFWpEVQoIkXasu2Rk+37yVWfqZdJXqXmqms5fOWj0Q2dbc51Ta
dyTeW0YAVKI+I1Vvw9xbKfSmlEApynQZbuRqsNCJ2C2uA9ijxyWag+sWLxSk8npsrNfBTuSjji3K
O1C6k+ptIBptkYR4xYGkb/N5Lgtjj3vLOyDBy+dQkahzw/QMX6gpCIhvCCK0bTVcYCB4+c5xYvts
Apr6HDSIg1alX1x1X/llHQ0TZGDoX/fWuGW+0Tgyt2Hd+Kajvv2KGHC+U0Nuh36FsXXwZGiD+mDN
JbnCrOfyzKgxvqbjUD+A7bBusFa9ZJPlRGgJimhxxoUsnCR+XEa72zmaXR0n4Bmi0WVYACa5kD4o
7kYCNqIYeeyJzelAZq63I3V9CtNRNFG8NuyBvmriY044xx50Q/HJ7P9Dj31t31goh8FWlPqFm5yV
F0wD0Bq9ChBPAqPCkg0NzLBol9oPDXdbSFfzCrtkGlRe55DeN7yuCOeDldCffcpZMbAXj3c5pHaY
jHhp9VHP8Dqn2ivDxeTUkrdyscu2vVlQLJxd1IQgOlJo+/qs0P/1aLhVx33DbTsFs7MYh5YiJRjr
NItyYZFwz2mIvYe96bJM0g6gNBPhdHCsakn0r15cztmegn/aSmh9tZwxyqc0Sb3L5Myg5cJFI1H5
0TAKe3q0adviZrfRgenPOuC9fCfsPLtyeuE+oBKM05fZWisiqvW8JC7FbyhUSrS9vL7KbnHBGxxM
CasLSkLGVdjTTsOQrDea/YpTs85P02YHCspmzfk0iEyt+tAj/1GPKsus6VH+o4BNflWzhSlU/lYU
sl/rCMZ47UIUsQcjXFpiciM1cKThxJUlyVulZ8mWZ66TRkM+VMXtyQxE7OZl1ZGM6dm8NSSnhcRE
enWet+sqUxbJcZGe9TY29SQ/3MInRfGN78gfVVCOsjlTV5pI8eq4kCZ/OKCBofnbWo3/c5TxU11A
Mg9FR08gNGRvcFLX4P78b6f+T8hZJtNt+iL/fqd++jm/D3/con/7id+2aN/8YovNbkNazO+OuN+2
aF04X5hZApulu/Jr+/7nFm06Xyzf4b8Y71vCIpDpn1u0YX9h7g+SAevPbwPX/6bHQ2foz3s0hhUb
WYXvGhZvyOS1/rxHC6lpCt+6OE0cSl+UZrnBUC4f3myUBEJr3S7VmPTNVVNc3Mm7QejBiUvl3WPb
MAgV/XAeF4duLswNFutROy2x6cQH1eTpPREA2vvobpgCpxHd0fJiGr80dJLhHjblYj5YVlYYFXbb
UndP4Fc949a3VtF8HdBc4mDWCM0wDwzyWJu8lgUAExx+DGiRha9kBdc+JgwcYVsiXBW0iMS7r6WH
KBgNFTpy/cyIwgGnZcS+3LmpIMArLS2jxWxNUikTDuBSQgQzQj608BUE2LPbLMaztSRDVwRrozdQ
1y1iOQ6e4YIXZT8hixuobebmT/GiaTymuluoLkpRyrzndez9SJycGAY8IQh4oAORZ4owDU2eeKR/
Al1L8haGQzE3xhUWri1IAt/uVZzrqwLoyBFxr2gGqN1KmJ8XeU1O9lvTvs01gWNBWZsSd/fsMYLx
7LdFsVSieUuP2ZA9JpySuVhjftMZdXNkKvicNxnTZjlRaVQ+k+Ypoe3QVUn6ks0Z3oSFDEJyo24a
q79Kp3F8ATRfM1Qa7s1qJiO8Vj49/8T5kHM8Bf04vaEGHdC0+2Exm6dkLp5nxdB7YaICmNX6njDU
2JkEUz1ilcSUuWqkcPOV4oeAce7iSB9c6gbPqA+G75MekT1TpH3ilZNX69DAmygIqeXUFVajfGuq
4Vyppj4WkpM1urhohjgfDKy+V20rdKTZ632aVA2Q1eJ5c2ZFY681OzJMfzpZ7dxUzhrfT37jBPQl
tcAf6aANzISLZSwOlrKQo+O6NijlIqXUHCZ4yUILGtk1CQr9jScnY+diQD25TZbBi1hJndeSNFyR
u3zPGHUcKmVn30lAmM8z1Mhd29naJWkXi6Z78pOWR3NnaxAnZTY/1tVSHlBskwSStdmxLjbbWUam
Lm0HRDO1jYca0+uJdSHdw2v392DkCF5LNf+gnOknaFaSQFNJBcHaEVAJZ5AL5ux7Y6ImVzbcd+Q0
AMIEueNopXD71xAxEMUxahaqhBEwYIYy5ifdrkUAovdZK+MTc1pMc0MLIURqLzb8XwJE5/ycdjaN
idbKPs3R7r9hVQ9zXTJSnSxYWqpjbj0uorhm2jpeOY7kiWfk0kUIxrXPRjpMIhVWRfC5rkfIaZ+r
Fa5zNWvY1cV4WfAUuI+lVbT3SEjAUXdxn21zMWdvwrHfbZk8A2b7MX8anEqGEnFmcgCzapzrMemr
cDElr8aNhZqI2M6PsezMUMRK3edAnEOluC0SX5V0m+Z5+dG1LKq7xLWWM32G+sh0igDCg+TWgs6x
OGIOO97t1iWd5KeOgyoLkilu9848juknmDD8XdBTO/p2omunW8OzhzdC3mi9BKmV0gVXlbhKa786
TJnXhmmnGQdhNHyyYjq5S05YS9qwSsxkXjQi0Xa2qUYMgyvesrYzd7G/EgaaQJgxvPV1ZnrwDCeT
HNxcAyZRvBhrJsglgZVcdfJMEoN1mwtSYvvSyK9qLfsBE7ePMqPNnqs+55xPJzq7MfpFcSiiYxZR
ROr3XRV/7Uqj8Aj2NP3r1iqbs+7Lvema6hp2XXuxTF97LKzBfTcqO4uSArjNWvkETY8JsZLBNBug
uHHR7EmSJ2s1BjwkYzlEgC7kbTmkDby0jK4ykMZDvz21tEEcdPF4KeIOk49GUAjsBMW8k5ZctgzH
SRcppAAJornzVtTNsVM/0I14I3TBPlqq8j96Y3hwZyudOAPSbDY9+eos4HloO2k7w1Qnq9Q9wMm6
SW9Ub+VnTCW9yzWpXVGqpxgJRj2qxYoYqJlpQSVeso/BNAeDt9xmk1fcrZpQN0tGTlC9jJjAa3wL
8wAuTbnGuJOWgQbDt+ZATIYX+jmBR63eHxYt6VmD5Y0/smqtJhNtn3D1UCB/P8nCAos89XaQ6NNl
9BirF16D4dWqmNuNjX/s5vmggTE+9UR6hzRdBc11v/pY2kbtBB3NcNQ1kB2MJ3EnNQSS478fnvws
R8fica7uUCZFg+xOHCtRkGrt59y5XyuI3bvVn8a9GFpUAwtYSM2C+ZrWM6PZsZrPWtH9QIl3U5LF
caVDL2KYj/q0NNz6zqAyuaa2bXa1WEi4zKQ4rWDuj5rtwvdrGSbArcsQ1HOq1Dw+81gw0TSqgvWu
c76tK7TZ2ttCMAr5zWiK4spuY44eIPWC2KTh1i65fs09MByGzCKiqCg+6Zn5+7ldvyUtv7VYfday
fCH5OCYsm/MnzgE2fmLFW/T8opT9fQwTP0yVPtxOlqfY3DnuOyKhYWd/tn7305JZuS9tCgY1Wy8V
fVzwLEP3XHr8qrW3GPiOs/zscZmF+ZAXEQHtVeAOU3qP1zh/8I2mPQnPWK9VIfka3OLbWMUiYjFF
/sOA9gXoFhuGNLcE6DpUCdr+fPZY152s/M5EwWDqsTSnEZHYPidlJyRQvN4P+VpdG7qBsmkhWlOZ
y/chjYnXpjsTTMT5QPYvCsQ6nfc8CGO9L0x0Meymm2oodce55gtreftKFvkbj30hb+RUe0+da/Oz
plgemRWdoDBOoVb6ycPIqPneBjf+hm7l0XacKQQPfWsZDQkfo5cwFE/zlsFyzBdNDov11bcLqAQ2
rVYOKDtrjR2DRoybbIhFTHUECDBZwWemh0lj/LDJt7ejhescGK3e3Cl9lUfBCfTozrb3bSoG8UYr
+iNvY3m3ClODKKpSdcxbad7ZlaN2+ppD52fOJVWAkiv0sSsR4Gbb3BGiuuCCsy84AgYRsmpqlBhG
a4Q2kqTPoTcJL+BBTbimgGo3c0jvHNpWt3lkavr+x37wYVvixnOiJTEf2wy8syvFNQy5/BV+qPgO
5fFcTpguorxBKdIl5g/G+fZj7WTGhw5hCD0TyvUCE8g4n1rEz8SaFindnBl8+YeAKh6RzDw8rlPP
XJDF84YDNknTtXO/OvUVEeiScC62g/moayvYd+Uo90cMNTFMjcG986WdvSCws8imyuyor6ZyZ2dm
i5uLPNyo79xq10izufSmRUAS0TPDLa5nbHMibgiAle2I+aX3EFOpeSCux0MAhOUt38fuRLqaS9+r
5X0dZO9oB8Lg4urQoZZ6YTUrXtjixtdymsVjkUuI+rmbnYQ9UfHGnXPuaoVpKdOGGAmCM5XPiYHK
60ppC7OgNcVWh5ySnoWgT00mpn82Ok7eaTUT/z1bNZlbit7QKob+Qa6zfBHeOv6w20kdiWmmd5Hn
8s5K0v5rY9p9wfPX5JI8XVoulc1RnepqffYBcDU5x4eBaCI6n37IOQlY2uq3JlrCsl3ULst5Hq58
z6qqHV0H5+tE8oXzmuCL5azuQdlmLmr5PIg9AiTME8wvrcJybh2zSN+UO9FgxLj1WK41nvIBn/5N
Wc/ZW1zZ9R7HEoSuap3LE0ldgrjTPPECUnSJ6BmqqXoRhEI9QPBA9FGxvPaV/8j8FlUOHr/vdVU3
tGbcfO/INbnqa0rSsladDGSlqic9pW1mCtc4TF5VXOdk0eyBYaURXIQybLW1HAK7B9c/QR99KC27
70mNI+ssV1kB3EAfr6t6HfEW5wRPu3Nyb7RmvFw8N++buznBZR75zOGJCgk9lAUUC1WbbgZTzDuG
Ac2EcjPb4CaF203WI3atX+CTcWk8tx/oU6UQlaZfmJRytjRkrdBDyrWt+8gcUtbR2QP5iiDRPMoU
Dhgu6WqMoLTgVqYd2OrfaUrHkdDyOLnO1Eaz5Rbu8x2DzilyDICqjI5dwutTIHTXSmrtcaRndJk7
zJQV07zDajuE1EkiyLqpb08992Q0SjO7bnNwdLExup9V31gfoi5guZICJhF5Ve3TUPhx9qbr1hhW
zPBw3Dk1SIB13biwnvcTV2pydAC84qCTwPs78sOeaQ6JXUbgK7pMqAL7wRjWd0FhfTUtrR2UnI8b
l5S2hl8LBqyTD22btcQyWNVlmnQb9mk2hUZltZGd6nR+9LQyd0kxkNUrEAyIbpujFYzu+z5vbi2r
q8Dy69ZX4tqJb5pnn1AlPd8l7HUU592ym42eXPPSPWlkEkQNB/eLTDJ/3xfCeLfBSh1xxLZEXrIy
lZso1aV5fMgSU0V9A0bDzEjxC4ohnb6XvqYOpWHdmXPq/xB1f6d4J8FGJAxbw1iORB4hzhzH5Lrg
SDsH5LdMO+6bjjyn2d51EKECzAebHDTP0t0UV5jNS7bxGDHot4GaHvqYWx21DPmjhjEjrCcHNSgS
EbKthbYwZTTNPcR75Gi+q91Jc10u7QS/ai7KmxmDAbOn2uypwLVyB7Mq/dmSFXoTx1nGQtslWEKY
xBeEg81EZIdLCZYMeQJQrEIqNp1peUCf5t+qOWF2BoX4WDgZyL4S+5sYGhprQr/3PCZywzAQUja2
yTuKxJx0ARR/FHadd1toXY/TCDugXsZWkNN+ffuVIIo8AONQlaXVm9YOb50JXDhV3sGyZ53QiVb9
EDMbq5eJ9bTASOH7o0cYKJsc6BnwR7jQwA1o3iMWWct3sOrpTnG1cOLOr/AartIEauDaMSEvX4dc
bfcbjeMddD8G8bNp7hjwoMDLfGiK2WC/F8MMpQ4KYkjNrOMTBWBW7qAjhaRFziT5EPrO3TK4B51k
TugSVnZdJklxT/9BiGgkkcHbKQQzt4Ok3gZ/QCrP1v4hbLM9+V1XElyoSHHLPfFzqjmikaCujqCI
xmjSOuOBxEQ6Am1Pdvwszy5RKoFAM3Jm9BSl6UJ8Yut0bMBacUbBoB7WIk0wn3ffOa9RihFgz2xy
zasTaTKqCMFkLi9MeFB7qOnGxBPyTCn1RHY8kSIoSK9Sx5xgaa8Ujk2KTmbtmJOPWh/Vavzm693N
pC8miE7judZY8lAJWXtySrxwsk3vJZ3ppmMMryNfeCo0xth+Il+JbIO1MK7qJb3OtPpNti6k8CF9
7B39E9Qo9d9CdVQnLVqHxngzU4BypqqtHwMGz0gkvckwvXqekXV9tm2lrQgfPfJ36HpQfM/tiPjG
qS7eIiEJNkmuR7L14m9KjAUOSKVA4fnLdMFpTlxT6cUxbSc5TXt7sBY67RAKOOPM9qEYTf9Ss2BJ
LKd24/DxYndEup1KIjB5BhxRYCYAgT2tGaqXJYkjLlVLYGZut3fIKimsdXrUaDoK1Pj4x0tsxV6p
DzsA9O0t7CHvxF/4r6L2Po3EuFg56SwF/uYzuqrivNhsrshkPuICJMQBVDoWJGe0yCDBO2eX83nN
XPzlQn/u2ZKYW0uoMsbWC2zrJAR4impWd9T2TFDlZbp9MGwq4WQwWBKcuVfTMW9QlKruG+rf88wN
T5hVK05Fot3E/kCtUzJ/yQlXaXUl95gg3Z1bOOW5tWn/db4YQuhzCMQ5xYUxaVZ9oh6g4fwQVcYd
Hy/2zp/rh87aAOzV4p5qi5BHV5PpgbMLDURSZO8mw3rJsLNfyVhDBUzqbJiUJthC0SZ4giv9OOOY
i3p7HE6wwgSdC9lgbcJ4PMX+AykFtOHiKQvTZvlWkB9Dj34x927R44OW5vfYVvrj5NlF5MzL1If5
2Ew/7cFVj6x9RuA4UMuASoznvqMZJfQ81GMNDAwoRPosWcYoUxTF0XfqG0uWQxivpjVGRjaRNOom
euUGuUiL84Zr1f21wee+tO+D3jTkwFjmxpxd14+Coegc6kuhvTdO1d+5oiSphw2PtEPXnTEd5/21
yxgsZA6dpxGCm3OvWcnOrJblO3UWj1aC2wAPhnfXTCZJhzIdP7TM+Ux6Zm6BD3sMz4HnP6yzFeOv
d6c6bDMxffVme7wn9ctab/vZawA0uVVzoAtaYVKWxHOtq+/st8GxiyEzm6PWIIY9zJjl7pECE9cn
Yu2WjCObKSibwTGL1dOS2F+pEOzHDjIucrZFHnkOlp3TDzqHK+958pDSokgzHhNoKiGYlTuPZM73
aobZgh/eY6JmGFlUckjXriaDoua6rGmtdlKlV9QQct4jNW/CnnitEfwE60/gSEbFIEQnwPdgSHDD
0wujpqmYv9UcbijvpgbUHOPL/rlvre6q6zwPqTSMWsQmzLkPCyiccGFdeHMI5zFvp8wWT4pf4EQe
KPuXsQCAwGMc0zSiQQ0wo8bfZI4tun/uHoAj7SQPU1dn12vbttBVaPAgrxoTKiYGc3B+JIOzHoJW
WLHKvOHSdr8x38PZSH6YPLYewBt01h1Fq2d5SNM0YpdxSM6P9tgCRK5F0WK0XITHldD859IY8K+n
SY58LiFONqKntlyWQs0FJvEq261gFCCpDBy8Z8LdQkrQqo2U2X4yjqx3jAgeFo2yfmXqd24LR0Z2
OyLizuLuYU6U8ZLnVOAojbbxZ2/r90O3OfHLTnmXwe7ZT1nLmvty1dSLhgjgbKYdfZkNAXbTL5p8
KVpN3GIhWg5G6+k+h9fBfBhws118Leb40jNzvSL92PiOkbU4y8FTDCJNmqGzMfKUNjXLalDZXg1E
aUjTKIN5zEM5WexY40RXMDDJd8xv6fBL9hO/N8urXDcWmyH6ZHOlK0KlZJ+Qv1QM92syIItyltbY
MaOcnwQQ4HNusVTWZbp8lm2lvxHXRaG2OoBg6HT0t6nvZ0mQ5Fn3MjoELU0au27SWGxm3FIRh51s
J5IhP7Ta5OGO76urPp7dLWJM7rDGFdetjuCEyl4X1w0owa+oDiXCqhmbKOpNK3R6/GRmJrWHtuja
W6g53rFKdTKb1NoepkFYodkCjUZfMMkbD2XHK91b0CTIz54E9d1133QT8GGqf9qZLl0aDcxQijYB
8BS2A2YZ5AoM1c0o/Q9N6TAR9Co+OqktI4356I2veDTQIaa7rDNP8Gi8+3p2ZgJlbXV2NHedAgcK
qoVwkZvGx04DW/E8ILy8QeZVXGNX/V57M+jleBH73Fvek6UiD8zCGh8Trcb8Na7olfXLs5aRmuL2
erprjdXcadzoh1ThnlP9YpzAT9GzaYqapFoY71FqznqEENQNpN1Qy4q1f8tKuKscFdbj0s8O+kp9
GO89t6EPrEPVimrbUOVlthmPL8Q5RbldNAX9LFVca24XTTbjG3qsOpVGk+71wlvJaiawrVj5dxE/
DOa83E0Y+gFCFs/+YLyaCYs1Q99dhncxolPy7tdY//2EgcfEKD0CHSQiONbN3tAL6zhZFQqI/LJ6
iOugYyJ2GMWKXHW9M9PMZDTevQCdye+RghxjzThSWMmDQsH6TZsZgxim9moKZDhipULeUE8HtAhp
QI7Fe+Xn3cM0dg8oxwh4FI3H1q5vB8G01O48VGbIVIz01NXCuLaU9sPS3PGmMeoeWxMh3xljMBo9
vvWK2nWETz5fq7adT33Z/U9g9h85EzZnOIPefz+2fv7Zo5eRfxpc/+NnfteW6V8gASAC4yL/Q0H2
T22Za36xwAQI9EGQK3Qkaf8cXGPs5R9IgDAw61M/bFlQv2nLLOOLCwCW1ouNch4Bh/vfmBM25dgf
9PcGyQs6WRK8Q15km5H/eWqN0GNc4YXYR8/jPF2lKQlBCerkP3wn/4HHwCNslc+If9j0GY6Lv9AH
4hEdsAl7/jjmNZJdJXwOsHPcfKvRX91XDgrfEjE8/IEV48Pfv/Z2vf74EYF+6ib2Ag/5gI9IyvnL
R0xhOELOx1ubWH5TsF4NE309nde1RXFhg2neE79qfbpLzFeGdcl+zhqAHqocx4zKXl+DZQSiJinr
YWBp3XncYjUHL99qnBI/llz6djewJNyMgxtfKnjm0f/Hh8AxDvDCxz5u/DWOQ/RWa1ZyZcixopWd
LRTplVaBywM79bVDWhPGegHhUKsWhZnvF5Vt9CJgoBCUZObP905tgL6kS8NBENYBzoR1r7wCuauv
CkY6k/5UZaOExrhK9ALk2B7+/jNwy/7LdaCxgReG6TWNsb/ADgbYMOPiTj4o4XaKejRxnNT65eA2
+effv9KGfPnDTf3ritNvNlF3gDZGEvLnm5qTwLANNvyjwtWMKggyn3S87txLs3sQNobav3+9vzxE
v17Px79iMU7eBlLbHfgHtIWhD3VdMRw4otbqH1hRhmAdkdL//av8X74/C0ot5ACP8E/zr7AIv2e5
KCfNO/YGdA7UDJ+t6WfHYvCe/v6FfsFA/vL92QZRRy4Pnvmvi0IOR8efuAePxsq5fHUHEPUEbR+W
hQu3VObWhkmRRwKXLC4IJ7zrtnSY+OR6fEnHer2qbLt76BcHPZmjAEq3eiY4oOrErySb8QlD5XLI
uDe/qgS1NPEywsILmU+AmqyEF8G7DZ/ZM7LjYDjDy+Ss2fHvP6Tp/YuoFkGKztIALoeaxrfRBv3x
qm3C+zFd+/k4bRh1lCFMlje0Oq2qYt9AhiKEtfmcyx4A+4Zi5+bNjwDrcYEyE93TosF7+ovejrAs
6pwajaZRZLe2v1jf3A33zvhu1+uT8aj7VQc9CMBV2FN8PRmi8PcpxgVs4+Dj06Q2qPpByhfJXs9V
8o3lrDg6Eux8Mhr2kY5Wc8Xukh4rkP87M3GyI2zuJWw2eH2KJOkwmI331G9o+1yjb1CTZiYDJuAf
KRtPWKFrPZEvANAfyFYXqA2Wj8axPKjYsXetMihdrXYMIXcyhZN60hyLvimeJfT9csPwc7DX7my/
XX4sCwQub8P1wzQwD3ZsUbnnTmqEK0eaiArTerBx+D6141C9wDIoPls9bVAaCX9hGkX6MDiDRpic
CNL51cVOFblbmAChR+Up3wIG1s537pwtdIBwwI1BXmXTHS277jttPOCU5BRoW2BBSnKBtkUYoHvS
IpRImKjc/lxVDBCBUnQ78AmnWWn1LWFf4DtnpIFU9XSHNCzTnDKvt+8zIqGaDOstVgHZDAEEhH7Y
IGQDa07FiWSb6traAhm0X9kMOsagW33U4JMuivAGwf7CUZdABwwJ3mlcLfO9j53hnhCEgbG1GJFd
uwMMF2tfp8RD9FtQxNiZ5nuzhUcUqQF2lKZ/FWyV3VcOoiNV8zxxabBX0FFNjhNpFGlqPhgxYTCs
beokAWoGiwYveovU+2H2XHOaa+3D0pc3WUxkE16yIlJJOdKhIQojrTD09IKjoQFiViQWXVh/Th7R
1tzEifMt3UI1UinFJd6CNvLeeaF7i2yhrunWDGS1brEcEkzm3ux75s3zOJ1ru/CDRq0EecA1DsYc
eKbcYj5cTi0sUUR/6FWd06Ju5ivNIxiE9mqNSJWwEG2LDWm3ABHculZIUA8YPkBjWNbZjNyIbQgn
fuI5JJBMGWqkhFiSfhi0K3ttmmu5hZb0TAzfc05V+FkGF3PZr3wTYeTt3cpsgGVq0AlAWXTrxLC+
PP4f9s61N21lC8N/JdrfQb4bH2lvaTekNPeeNG26+wW54GKDsfEVzK8/z/jSYpLQNkY60dGx+qVA
xuPlmXWb9b5LFu1RzJDtYvRgoVjAAUHeLjtT1iRAXNMFhJ+649ONNA8mca7NPs+B308NMyk+q3m8
vliSZjhf5Bb8J1AwXMVSD3xNuiARM5by84y6s9teQcaedjAcjr7h7C+RIWe2zC0tbCMDQkVptgQj
vt181HIak6vCu5cWs9UZpSM0syioqYLczRvJRhRceWS+yROQZ4BiJLiaBxn4ec/YRGXicGiEWTHq
GQOSKYm0oG1KXnzL03gd3kCk7w/HArS5zQuqk0IqW1bKcjD0ZlgOeQsMT5Gy1RkZYeWMJ44vTAPW
zTXUdkPFlYrLbSolD5Q8aLcKG/WmoNVONlyMoc+jvCbMHSCY66HlS4RtgO0mLqdkbwEXmZ9K8Fag
m7C+SfgXHJ64t4vFGu8kx+Wj27D0BvYGgGQUMkcRhcfAWTd0HLrzZ1r0eT5XF8OFtF0PvR5+YU9f
FSN/IavnlKEvyIxZ2acwTfzziMzBdNtzJaD6EGTOYx6Sjivba8MPQbRR+PiuKNTVjepuxxdmEmO5
1qArTmHloZlfGKzOrDjnyWGLuRWkKEM9U2HBTGk8qsF7c7s1V+TLOfribxTLB2lG+hAQvMpMIBeX
Rnme8kg9Q3BbqCboHmoH9DPVcvVbGcXAeVNCmJcqW45/Df/UMrPxBb6KfroaGxalXH58kRusV1kl
U4EPnH/yoNQ7U0MlupgDZ6FJoK4pnDAso9E46OmXHOT17gpuAA8Vh+nQXnO2ONQLV/8CRR85aJCh
6Z1kQnwGxCi7iyU4EGMaLH6mthE8PiQN5H/DUTJXiP/xF9VLfSON0gilIIMZuMnViNwjtXfwDVL/
nPtzsFLq2IXhN7snU6pQUJl6b6hk0M8owHwfjwMrB645y0fxKi/cEeI3F5NYG0TuVZwso5zVTFad
yh3gq+kyloaxCsfHlcUJ8ArNWtDLKBgomntDDddmuT0vzfv/EVE/QUSBcheUgM8HrA8FiIhg1gpY
q7+pA1a57EIMB5Qh4aPLJaleU2kty6JBMVEcxrAKShsslIhXwUEB4YZ7UILQ7Ee8KvUtIkzRORMy
S5Ma7Q7xKlGcLnxgixhI0yBPE07yjqs9ztayp4+j9U22nM4Sn0TJ1x1pPBGqCq9vx/d9dIM9Osl4
o/rL1YYbDObUB2GUM8v28hvPoghjevhW+l5kSr36ANZDWcHJhrdbl/YiogLr5Osw7lzPdar/5mB4
eooqGVS9DZRFpH9JygafLhDbVMJbgfJoS62RXtAPVFIl2NSnYURRwQwnUXPpWDmCq0oaFYMgczx6
S3rLqyzWkp52KRkQKPm00xvH94M5Ct6gZfz4vojSt3PF0y8SkoHwo4dQItMnLwrSUyVQYDBSY7aw
khs9vKI1KCpyyv4ychcfIkuZ5TEuY5Cb4ZBJYKQ44ifwCTLlIpZX3sdi42eX/jjKqOTLYVh5C2Ot
ry4vzVSfD3WSfTcDGZTKF+w4Bbi9GbW8g1SJYXvWNfWWTNdqezlPOfD4sKYYWQvO1HwGqGcldC0l
1BQ9xl4y+t/SGrX6E52IANR7afHvzImLOyfJOO1v4Avi2/ehF6T3lBS+5EeHB6pbIP1ED8HyKO8j
M8tJlTM+NIZvM+dsSn8ljd4sMOGZhC9oEC6Uig8bXP01gD9wm6JROkph9z0fEsDhZ6skefg3h+Ze
5RTPp3/+oROs7GiD71P6jcenCRSQEoOEiQX/Hxeo1PbjW30D9UyGsJbPf0kIE7j6UrEMQSQEu4YF
Ff1rMtgb4ccSUC1gP4ToGJtKBqypXRlYcCPKULvAX1YtkeqGO/vkuZ1w+CUfbyGADTZ4cS2D/Nsb
QYHm0VKAACtPSsHU+5hqSTeoYy8vjBY3fEVSgFSymtNk86+ZE75oOwzwI/CRgXFVQtjfDpLeJxku
FsNre3oZik5sf6c1oAz6ukjWazhR5bX3+AOlT49jcGfCyxLXq5OCSjRb6ekOiwDUHllwaolI3okL
se7qg4HR5yADIK75Y5G8rp3AcY44/ui0FjSpj/sr9F693zE1LSlYfW5DNEvyu7pe247AjRWueycp
YBs419E0XaWLobgeuQfgQnWK0Mx6sVRq+BVpRVqPdLcNKrYBtloUbCWFvbUgKzBYNAeFr8wq0F5F
6WwWWAUKxVOGQvz0hEaQiVlJpSiKIvr3vS5dwAbVOvsGZl8rTzEGELmJi4B2VxdU799A64BLFter
2wUqnRt+0U+0p+Quhh5sst4k5Tl3QwV8QPhZyD1UV1sKAwhZ6F2GV/771vEXFMb32OvU9fxpGXV5
TvJUcPbcDxp39PH3dbwhggrhT7d+KIKw6t5V5CH+/1dLSKUTuPNl4xSW96n/vH7Ax7du3at5qubD
d54T2+R2i/KLop5m1Rn3b9/+ai/t3ViAxYdH8mMmf/7RmueOLfjJwMlib1xxENp5XKgVw3YLUQrx
sVDdB17YQdJmNoCikk3YdeRT2/e+hfEesVEVd3YeO/TD2J62ODcrF777yEHgTFIP/uJGBGJlmyQV
m/8/mVn47ikcWh1Dx7fXduw0I4mRBzSdaP7fYeRa55yE305IsWXLr20+KUsWBKZdhcN5SOxN28u7
Ch26jjxywnjWnjKGQVT7dB35HRL3vGYcIXFZhc2z+eDlIj+f2m5rAdYppa4TPqdlK5TdSTPDcsqV
U9556GDq2XtaRINPrLlVB2GE6/ayoJQKQ991wpePdRMEsEfYL5fMLJssimaKpZCFE9J88HJRXIWc
5T4SM/RtRzAv1/RfamkPUWZ3hDlf2/BT2sG0eXohDkUiXm8+eLk4ru0ksSduljhp2lrTtArRjiES
b+J6M7ud14MP7wg7/NrDFlAE3FrZdLQXHHtdVza92RLxD6hgM1gpdJnizOaDDkJn6JCa9Wakeuij
TJxq0j0dosg0hGlu9fJJ3zhfY3vPe6JkzDjK0Lndtlt1gN/1Nd4465N3Nl2QXa9t1hlfRDrHGP/C
iROnaMYqXyXw0CMNfu1svEnLjJEQFsnAY8z8nzBeNCPV8xb5hM5Dl82MTm1Iq722NQPVLx/tBs93
S3qeUOyX3MDn2OK7Drvw8UjaUY1CMvIISvY2dujI27y58lVWqaGur/L9T/hPO4rkzg2nzsl58si2
mYYos+46+w9hlronTy1E2OTkI9jl6gaPF6IY/gjxyD3Sd5LEabkUdRq8q2ye5cvr+Eo/prbbvDmx
EOscXdfpHsBJdJzwJ4/IZi8KVkkEHWH9PdjYnWCWtrdmnbXrKpEHJ0lPnpw8Z3lHWHwPXjIJqTNr
qZU619Z57s8XER18m09lmr6fUz7OPzWnsE/9WTu5Jn4x8R07/us/AAAA//8=</cx:binary>
              </cx:geoCache>
            </cx:geography>
          </cx:layoutPr>
          <cx:valueColors>
            <cx:minColor>
              <a:srgbClr val="96F4C7"/>
            </cx:minColor>
            <cx:maxColor>
              <a:srgbClr val="084C2C"/>
            </cx:maxColor>
          </cx:valueColors>
        </cx:series>
      </cx:plotAreaRegion>
    </cx:plotArea>
    <cx:legend pos="t" align="ctr" overlay="0"/>
  </cx:chart>
  <cx:spPr>
    <a:noFill/>
    <a:ln>
      <a:noFill/>
    </a:ln>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1" Type="http://schemas.microsoft.com/office/2014/relationships/chartEx" Target="../charts/chartEx1.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1.xml.rels><?xml version="1.0" encoding="UTF-8" standalone="yes"?>
<Relationships xmlns="http://schemas.openxmlformats.org/package/2006/relationships"><Relationship Id="rId1" Type="http://schemas.microsoft.com/office/2014/relationships/chartEx" Target="../charts/chartEx2.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4.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svg"/><Relationship Id="rId18" Type="http://schemas.openxmlformats.org/officeDocument/2006/relationships/image" Target="../media/image12.png"/><Relationship Id="rId3" Type="http://schemas.openxmlformats.org/officeDocument/2006/relationships/chart" Target="../charts/chart10.xml"/><Relationship Id="rId21" Type="http://schemas.openxmlformats.org/officeDocument/2006/relationships/chart" Target="../charts/chart14.xml"/><Relationship Id="rId7" Type="http://schemas.microsoft.com/office/2014/relationships/chartEx" Target="../charts/chartEx4.xml"/><Relationship Id="rId12" Type="http://schemas.openxmlformats.org/officeDocument/2006/relationships/image" Target="../media/image6.png"/><Relationship Id="rId17" Type="http://schemas.openxmlformats.org/officeDocument/2006/relationships/image" Target="../media/image11.svg"/><Relationship Id="rId2" Type="http://schemas.openxmlformats.org/officeDocument/2006/relationships/chart" Target="../charts/chart9.xml"/><Relationship Id="rId16" Type="http://schemas.openxmlformats.org/officeDocument/2006/relationships/image" Target="../media/image10.png"/><Relationship Id="rId20" Type="http://schemas.openxmlformats.org/officeDocument/2006/relationships/chart" Target="../charts/chart13.xml"/><Relationship Id="rId1" Type="http://schemas.openxmlformats.org/officeDocument/2006/relationships/chart" Target="../charts/chart8.xml"/><Relationship Id="rId6" Type="http://schemas.microsoft.com/office/2014/relationships/chartEx" Target="../charts/chartEx3.xml"/><Relationship Id="rId11" Type="http://schemas.openxmlformats.org/officeDocument/2006/relationships/image" Target="../media/image5.svg"/><Relationship Id="rId24" Type="http://schemas.openxmlformats.org/officeDocument/2006/relationships/chart" Target="../charts/chart17.xml"/><Relationship Id="rId5" Type="http://schemas.openxmlformats.org/officeDocument/2006/relationships/chart" Target="../charts/chart12.xml"/><Relationship Id="rId15" Type="http://schemas.openxmlformats.org/officeDocument/2006/relationships/image" Target="../media/image9.svg"/><Relationship Id="rId23" Type="http://schemas.openxmlformats.org/officeDocument/2006/relationships/chart" Target="../charts/chart16.xml"/><Relationship Id="rId10" Type="http://schemas.openxmlformats.org/officeDocument/2006/relationships/image" Target="../media/image4.png"/><Relationship Id="rId19" Type="http://schemas.openxmlformats.org/officeDocument/2006/relationships/image" Target="../media/image13.svg"/><Relationship Id="rId4" Type="http://schemas.openxmlformats.org/officeDocument/2006/relationships/chart" Target="../charts/chart11.xml"/><Relationship Id="rId9" Type="http://schemas.openxmlformats.org/officeDocument/2006/relationships/image" Target="../media/image3.svg"/><Relationship Id="rId14" Type="http://schemas.openxmlformats.org/officeDocument/2006/relationships/image" Target="../media/image8.png"/><Relationship Id="rId22"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editAs="oneCell">
    <xdr:from>
      <xdr:col>0</xdr:col>
      <xdr:colOff>514350</xdr:colOff>
      <xdr:row>1</xdr:row>
      <xdr:rowOff>142875</xdr:rowOff>
    </xdr:from>
    <xdr:to>
      <xdr:col>10</xdr:col>
      <xdr:colOff>504064</xdr:colOff>
      <xdr:row>17</xdr:row>
      <xdr:rowOff>113923</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514350" y="333375"/>
          <a:ext cx="6085714" cy="301904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196850</xdr:colOff>
      <xdr:row>0</xdr:row>
      <xdr:rowOff>139698</xdr:rowOff>
    </xdr:from>
    <xdr:to>
      <xdr:col>11</xdr:col>
      <xdr:colOff>408214</xdr:colOff>
      <xdr:row>24</xdr:row>
      <xdr:rowOff>90713</xdr:rowOff>
    </xdr:to>
    <xdr:sp macro="" textlink="">
      <xdr:nvSpPr>
        <xdr:cNvPr id="3" name="Rectangle: Rounded Corners 2">
          <a:extLst>
            <a:ext uri="{FF2B5EF4-FFF2-40B4-BE49-F238E27FC236}">
              <a16:creationId xmlns:a16="http://schemas.microsoft.com/office/drawing/2014/main" id="{07437088-8070-79D5-B8F0-431B41C606B2}"/>
            </a:ext>
          </a:extLst>
        </xdr:cNvPr>
        <xdr:cNvSpPr/>
      </xdr:nvSpPr>
      <xdr:spPr>
        <a:xfrm>
          <a:off x="196850" y="139698"/>
          <a:ext cx="6897007" cy="4305301"/>
        </a:xfrm>
        <a:prstGeom prst="roundRect">
          <a:avLst>
            <a:gd name="adj" fmla="val 4720"/>
          </a:avLst>
        </a:prstGeom>
        <a:solidFill>
          <a:schemeClr val="accent1">
            <a:lumMod val="50000"/>
          </a:schemeClr>
        </a:solidFill>
        <a:ln>
          <a:noFill/>
        </a:ln>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ctr"/>
          <a:r>
            <a:rPr lang="en-US" sz="1100" b="1">
              <a:solidFill>
                <a:schemeClr val="bg1"/>
              </a:solidFill>
            </a:rPr>
            <a:t>DATA SPLITTING</a:t>
          </a:r>
        </a:p>
        <a:p>
          <a:pPr algn="l"/>
          <a:r>
            <a:rPr lang="en-US" sz="1100" b="1">
              <a:solidFill>
                <a:schemeClr val="bg1"/>
              </a:solidFill>
            </a:rPr>
            <a:t>INDEPENDENT VARIABLES</a:t>
          </a:r>
          <a:r>
            <a:rPr lang="en-US" sz="1100">
              <a:solidFill>
                <a:schemeClr val="bg1"/>
              </a:solidFill>
            </a:rPr>
            <a:t>:</a:t>
          </a:r>
        </a:p>
        <a:p>
          <a:pPr algn="l"/>
          <a:r>
            <a:rPr lang="en-US" sz="1100">
              <a:solidFill>
                <a:schemeClr val="bg1"/>
              </a:solidFill>
            </a:rPr>
            <a:t>Customer Name</a:t>
          </a:r>
        </a:p>
        <a:p>
          <a:pPr algn="l"/>
          <a:r>
            <a:rPr lang="en-US" sz="1100">
              <a:solidFill>
                <a:schemeClr val="bg1"/>
              </a:solidFill>
            </a:rPr>
            <a:t>City</a:t>
          </a:r>
        </a:p>
        <a:p>
          <a:pPr algn="l"/>
          <a:r>
            <a:rPr lang="en-US" sz="1100">
              <a:solidFill>
                <a:schemeClr val="bg1"/>
              </a:solidFill>
            </a:rPr>
            <a:t>State</a:t>
          </a:r>
        </a:p>
        <a:p>
          <a:pPr algn="l"/>
          <a:r>
            <a:rPr lang="en-US" sz="1100">
              <a:solidFill>
                <a:schemeClr val="bg1"/>
              </a:solidFill>
            </a:rPr>
            <a:t>Country</a:t>
          </a:r>
        </a:p>
        <a:p>
          <a:pPr algn="l"/>
          <a:r>
            <a:rPr lang="en-US" sz="1100">
              <a:solidFill>
                <a:schemeClr val="bg1"/>
              </a:solidFill>
            </a:rPr>
            <a:t>Region</a:t>
          </a:r>
        </a:p>
        <a:p>
          <a:pPr algn="l"/>
          <a:r>
            <a:rPr lang="en-US" sz="1100">
              <a:solidFill>
                <a:schemeClr val="bg1"/>
              </a:solidFill>
            </a:rPr>
            <a:t>Sales</a:t>
          </a:r>
          <a:r>
            <a:rPr lang="en-US" sz="1100" baseline="0">
              <a:solidFill>
                <a:schemeClr val="bg1"/>
              </a:solidFill>
            </a:rPr>
            <a:t>person</a:t>
          </a:r>
        </a:p>
        <a:p>
          <a:pPr algn="l"/>
          <a:r>
            <a:rPr lang="en-US" sz="1100" baseline="0">
              <a:solidFill>
                <a:schemeClr val="bg1"/>
              </a:solidFill>
            </a:rPr>
            <a:t>Shpper Name</a:t>
          </a:r>
        </a:p>
        <a:p>
          <a:pPr algn="l"/>
          <a:r>
            <a:rPr lang="en-US" sz="1100" baseline="0">
              <a:solidFill>
                <a:schemeClr val="bg1"/>
              </a:solidFill>
            </a:rPr>
            <a:t>Ship name</a:t>
          </a:r>
        </a:p>
        <a:p>
          <a:pPr algn="l"/>
          <a:r>
            <a:rPr lang="en-US" sz="1100" baseline="0">
              <a:solidFill>
                <a:schemeClr val="bg1"/>
              </a:solidFill>
            </a:rPr>
            <a:t>Ship city</a:t>
          </a:r>
        </a:p>
        <a:p>
          <a:pPr algn="l"/>
          <a:r>
            <a:rPr lang="en-US" sz="1100" baseline="0">
              <a:solidFill>
                <a:schemeClr val="bg1"/>
              </a:solidFill>
            </a:rPr>
            <a:t>Ship state</a:t>
          </a:r>
        </a:p>
        <a:p>
          <a:pPr algn="l"/>
          <a:r>
            <a:rPr lang="en-US" sz="1100" baseline="0">
              <a:solidFill>
                <a:schemeClr val="bg1"/>
              </a:solidFill>
            </a:rPr>
            <a:t>Ship country</a:t>
          </a:r>
        </a:p>
        <a:p>
          <a:pPr algn="l"/>
          <a:r>
            <a:rPr lang="en-US" sz="1100" baseline="0">
              <a:solidFill>
                <a:schemeClr val="bg1"/>
              </a:solidFill>
            </a:rPr>
            <a:t>Payment Type</a:t>
          </a:r>
        </a:p>
        <a:p>
          <a:pPr algn="l"/>
          <a:r>
            <a:rPr lang="en-US" sz="1100" baseline="0">
              <a:solidFill>
                <a:schemeClr val="bg1"/>
              </a:solidFill>
            </a:rPr>
            <a:t>Product Name</a:t>
          </a:r>
        </a:p>
        <a:p>
          <a:pPr algn="l"/>
          <a:r>
            <a:rPr lang="en-US" sz="1100" baseline="0">
              <a:solidFill>
                <a:schemeClr val="bg1"/>
              </a:solidFill>
            </a:rPr>
            <a:t>Catergory</a:t>
          </a:r>
        </a:p>
        <a:p>
          <a:pPr algn="l"/>
          <a:endParaRPr lang="en-US" sz="1100">
            <a:solidFill>
              <a:schemeClr val="bg1"/>
            </a:solidFill>
          </a:endParaRPr>
        </a:p>
        <a:p>
          <a:pPr algn="l"/>
          <a:r>
            <a:rPr lang="en-US" sz="1100" b="1">
              <a:solidFill>
                <a:schemeClr val="bg1"/>
              </a:solidFill>
            </a:rPr>
            <a:t>DEPENDENT VARIABLES</a:t>
          </a:r>
          <a:r>
            <a:rPr lang="en-US" sz="1100">
              <a:solidFill>
                <a:schemeClr val="bg1"/>
              </a:solidFill>
            </a:rPr>
            <a:t>:</a:t>
          </a:r>
        </a:p>
        <a:p>
          <a:pPr algn="l"/>
          <a:r>
            <a:rPr lang="en-US" sz="1100">
              <a:solidFill>
                <a:schemeClr val="bg1"/>
              </a:solidFill>
            </a:rPr>
            <a:t>Unit Price</a:t>
          </a:r>
        </a:p>
        <a:p>
          <a:pPr algn="l"/>
          <a:r>
            <a:rPr lang="en-US" sz="1100">
              <a:solidFill>
                <a:schemeClr val="bg1"/>
              </a:solidFill>
            </a:rPr>
            <a:t>Quantity</a:t>
          </a:r>
        </a:p>
        <a:p>
          <a:pPr algn="l"/>
          <a:r>
            <a:rPr lang="en-US" sz="1100">
              <a:solidFill>
                <a:schemeClr val="bg1"/>
              </a:solidFill>
            </a:rPr>
            <a:t>Revenue</a:t>
          </a:r>
        </a:p>
        <a:p>
          <a:pPr algn="l"/>
          <a:r>
            <a:rPr lang="en-US" sz="1100">
              <a:solidFill>
                <a:schemeClr val="bg1"/>
              </a:solidFill>
            </a:rPr>
            <a:t>Shipping fee</a:t>
          </a:r>
        </a:p>
        <a:p>
          <a:pPr algn="l"/>
          <a:r>
            <a:rPr lang="en-US" sz="1100">
              <a:solidFill>
                <a:schemeClr val="bg1"/>
              </a:solidFill>
            </a:rPr>
            <a:t>Profit </a:t>
          </a:r>
        </a:p>
        <a:p>
          <a:pPr algn="l"/>
          <a:r>
            <a:rPr lang="en-US" sz="1100">
              <a:solidFill>
                <a:schemeClr val="bg1"/>
              </a:solidFill>
            </a:rPr>
            <a:t>Profit</a:t>
          </a:r>
          <a:r>
            <a:rPr lang="en-US" sz="1100" baseline="0">
              <a:solidFill>
                <a:schemeClr val="bg1"/>
              </a:solidFill>
            </a:rPr>
            <a:t> Margin</a:t>
          </a:r>
          <a:endParaRPr lang="en-US" sz="1100">
            <a:solidFill>
              <a:schemeClr val="bg1"/>
            </a:solidFill>
          </a:endParaRPr>
        </a:p>
      </xdr:txBody>
    </xdr:sp>
    <xdr:clientData/>
  </xdr:twoCellAnchor>
  <xdr:twoCellAnchor>
    <xdr:from>
      <xdr:col>12</xdr:col>
      <xdr:colOff>49514</xdr:colOff>
      <xdr:row>0</xdr:row>
      <xdr:rowOff>74083</xdr:rowOff>
    </xdr:from>
    <xdr:to>
      <xdr:col>23</xdr:col>
      <xdr:colOff>331560</xdr:colOff>
      <xdr:row>68</xdr:row>
      <xdr:rowOff>57453</xdr:rowOff>
    </xdr:to>
    <xdr:sp macro="" textlink="">
      <xdr:nvSpPr>
        <xdr:cNvPr id="4" name="Rectangle: Rounded Corners 3">
          <a:extLst>
            <a:ext uri="{FF2B5EF4-FFF2-40B4-BE49-F238E27FC236}">
              <a16:creationId xmlns:a16="http://schemas.microsoft.com/office/drawing/2014/main" id="{3E8B17AB-1F9C-34EC-CB77-4C5EF51E3481}"/>
            </a:ext>
          </a:extLst>
        </xdr:cNvPr>
        <xdr:cNvSpPr/>
      </xdr:nvSpPr>
      <xdr:spPr>
        <a:xfrm>
          <a:off x="7415514" y="74083"/>
          <a:ext cx="7034213" cy="12217703"/>
        </a:xfrm>
        <a:prstGeom prst="roundRect">
          <a:avLst>
            <a:gd name="adj" fmla="val 4720"/>
          </a:avLst>
        </a:prstGeom>
        <a:solidFill>
          <a:schemeClr val="accent1">
            <a:lumMod val="50000"/>
          </a:schemeClr>
        </a:solidFill>
        <a:ln>
          <a:noFill/>
        </a:ln>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ctr"/>
          <a:r>
            <a:rPr lang="en-US" sz="1100" b="1">
              <a:solidFill>
                <a:schemeClr val="bg1"/>
              </a:solidFill>
            </a:rPr>
            <a:t>POTENTIAL</a:t>
          </a:r>
          <a:r>
            <a:rPr lang="en-US" sz="1100" b="1" baseline="0">
              <a:solidFill>
                <a:schemeClr val="bg1"/>
              </a:solidFill>
            </a:rPr>
            <a:t> QUESTIONS/INSIGHTS</a:t>
          </a:r>
          <a:endParaRPr lang="en-US" sz="1100" b="1">
            <a:solidFill>
              <a:schemeClr val="bg1"/>
            </a:solidFill>
          </a:endParaRPr>
        </a:p>
        <a:p>
          <a:pPr algn="l"/>
          <a:endParaRPr lang="en-US" sz="1100">
            <a:solidFill>
              <a:schemeClr val="bg1"/>
            </a:solidFill>
          </a:endParaRPr>
        </a:p>
        <a:p>
          <a:pPr algn="l"/>
          <a:r>
            <a:rPr lang="en-US" sz="1100">
              <a:solidFill>
                <a:schemeClr val="bg1"/>
              </a:solidFill>
            </a:rPr>
            <a:t>Question: Who</a:t>
          </a:r>
          <a:r>
            <a:rPr lang="en-US" sz="1100" baseline="0">
              <a:solidFill>
                <a:schemeClr val="bg1"/>
              </a:solidFill>
            </a:rPr>
            <a:t> is b</a:t>
          </a:r>
          <a:r>
            <a:rPr lang="en-US" sz="1100">
              <a:solidFill>
                <a:schemeClr val="bg1"/>
              </a:solidFill>
            </a:rPr>
            <a:t>est</a:t>
          </a:r>
          <a:r>
            <a:rPr lang="en-US" sz="1100" baseline="0">
              <a:solidFill>
                <a:schemeClr val="bg1"/>
              </a:solidFill>
            </a:rPr>
            <a:t> perfoming customer by revenue?</a:t>
          </a:r>
        </a:p>
        <a:p>
          <a:pPr algn="l"/>
          <a:r>
            <a:rPr lang="en-US" sz="1100" baseline="0">
              <a:solidFill>
                <a:schemeClr val="bg1"/>
              </a:solidFill>
            </a:rPr>
            <a:t>Expected Insight: This tells us the customer who has contributed a great deal to the firm</a:t>
          </a:r>
        </a:p>
        <a:p>
          <a:pPr algn="l"/>
          <a:endParaRPr lang="en-US" sz="1100" baseline="0">
            <a:solidFill>
              <a:schemeClr val="bg1"/>
            </a:solidFill>
          </a:endParaRPr>
        </a:p>
        <a:p>
          <a:pPr algn="l"/>
          <a:r>
            <a:rPr lang="en-US" sz="1100" baseline="0">
              <a:solidFill>
                <a:schemeClr val="bg1"/>
              </a:solidFill>
            </a:rPr>
            <a:t>What is Revenue generated by each sales person?</a:t>
          </a:r>
        </a:p>
        <a:p>
          <a:pPr algn="l"/>
          <a:r>
            <a:rPr lang="en-US" sz="1100" baseline="0">
              <a:solidFill>
                <a:schemeClr val="bg1"/>
              </a:solidFill>
            </a:rPr>
            <a:t>Expected Insight: This is to find the sales person with best performance at work</a:t>
          </a:r>
        </a:p>
        <a:p>
          <a:endParaRPr lang="en-US" sz="1100" baseline="0">
            <a:solidFill>
              <a:schemeClr val="lt1"/>
            </a:solidFill>
            <a:effectLst/>
            <a:latin typeface="+mn-lt"/>
            <a:ea typeface="+mn-ea"/>
            <a:cs typeface="+mn-cs"/>
          </a:endParaRPr>
        </a:p>
        <a:p>
          <a:r>
            <a:rPr lang="en-US" sz="1100" baseline="0">
              <a:solidFill>
                <a:schemeClr val="lt1"/>
              </a:solidFill>
              <a:effectLst/>
              <a:latin typeface="+mn-lt"/>
              <a:ea typeface="+mn-ea"/>
              <a:cs typeface="+mn-cs"/>
            </a:rPr>
            <a:t>Which customer purchased the highest quantity?</a:t>
          </a:r>
        </a:p>
        <a:p>
          <a:r>
            <a:rPr lang="en-US" sz="1100" baseline="0">
              <a:solidFill>
                <a:schemeClr val="lt1"/>
              </a:solidFill>
              <a:effectLst/>
              <a:latin typeface="+mn-lt"/>
              <a:ea typeface="+mn-ea"/>
              <a:cs typeface="+mn-cs"/>
            </a:rPr>
            <a:t>Expected insight: This would tell us the returning customer with the highest purchase</a:t>
          </a:r>
        </a:p>
        <a:p>
          <a:endParaRPr lang="en-US">
            <a:effectLst/>
          </a:endParaRPr>
        </a:p>
        <a:p>
          <a:r>
            <a:rPr lang="en-US" sz="1100" baseline="0">
              <a:solidFill>
                <a:schemeClr val="lt1"/>
              </a:solidFill>
              <a:effectLst/>
              <a:latin typeface="+mn-lt"/>
              <a:ea typeface="+mn-ea"/>
              <a:cs typeface="+mn-cs"/>
            </a:rPr>
            <a:t>What is the most sold product category?</a:t>
          </a:r>
        </a:p>
        <a:p>
          <a:r>
            <a:rPr lang="en-US">
              <a:effectLst/>
            </a:rPr>
            <a:t>Expected Insight: This would</a:t>
          </a:r>
          <a:r>
            <a:rPr lang="en-US" baseline="0">
              <a:effectLst/>
            </a:rPr>
            <a:t> give information on the product category that customers prefer the most</a:t>
          </a:r>
        </a:p>
        <a:p>
          <a:endParaRPr lang="en-US">
            <a:effectLst/>
          </a:endParaRPr>
        </a:p>
        <a:p>
          <a:r>
            <a:rPr lang="en-US" sz="1100" baseline="0">
              <a:solidFill>
                <a:schemeClr val="lt1"/>
              </a:solidFill>
              <a:effectLst/>
              <a:latin typeface="+mn-lt"/>
              <a:ea typeface="+mn-ea"/>
              <a:cs typeface="+mn-cs"/>
            </a:rPr>
            <a:t>What is the Product with the most quantity purchased?</a:t>
          </a:r>
        </a:p>
        <a:p>
          <a:r>
            <a:rPr lang="en-US" sz="1100" baseline="0">
              <a:solidFill>
                <a:schemeClr val="lt1"/>
              </a:solidFill>
              <a:effectLst/>
              <a:latin typeface="+mn-lt"/>
              <a:ea typeface="+mn-ea"/>
              <a:cs typeface="+mn-cs"/>
            </a:rPr>
            <a:t>Expected Insight: This tell us the product with the most purchases </a:t>
          </a:r>
        </a:p>
        <a:p>
          <a:endParaRPr lang="en-US">
            <a:effectLst/>
          </a:endParaRPr>
        </a:p>
        <a:p>
          <a:r>
            <a:rPr lang="en-US" sz="1100" baseline="0">
              <a:solidFill>
                <a:schemeClr val="lt1"/>
              </a:solidFill>
              <a:effectLst/>
              <a:latin typeface="+mn-lt"/>
              <a:ea typeface="+mn-ea"/>
              <a:cs typeface="+mn-cs"/>
            </a:rPr>
            <a:t>What is the Most common purchase method  used?</a:t>
          </a:r>
        </a:p>
        <a:p>
          <a:r>
            <a:rPr lang="en-US" sz="1100" baseline="0">
              <a:solidFill>
                <a:schemeClr val="lt1"/>
              </a:solidFill>
              <a:effectLst/>
              <a:latin typeface="+mn-lt"/>
              <a:ea typeface="+mn-ea"/>
              <a:cs typeface="+mn-cs"/>
            </a:rPr>
            <a:t>Expected Insights: This gives us information on the purchase method commonly used </a:t>
          </a:r>
        </a:p>
        <a:p>
          <a:endParaRPr lang="en-US">
            <a:effectLst/>
          </a:endParaRPr>
        </a:p>
        <a:p>
          <a:r>
            <a:rPr lang="en-US" sz="1100" baseline="0">
              <a:solidFill>
                <a:schemeClr val="lt1"/>
              </a:solidFill>
              <a:effectLst/>
              <a:latin typeface="+mn-lt"/>
              <a:ea typeface="+mn-ea"/>
              <a:cs typeface="+mn-cs"/>
            </a:rPr>
            <a:t>What ship generated the most revenue?</a:t>
          </a:r>
        </a:p>
        <a:p>
          <a:r>
            <a:rPr lang="en-US" sz="1100" baseline="0">
              <a:solidFill>
                <a:schemeClr val="lt1"/>
              </a:solidFill>
              <a:effectLst/>
              <a:latin typeface="+mn-lt"/>
              <a:ea typeface="+mn-ea"/>
              <a:cs typeface="+mn-cs"/>
            </a:rPr>
            <a:t>Expected Insights: This tells us the ship that generated the most revenue</a:t>
          </a:r>
        </a:p>
        <a:p>
          <a:endParaRPr lang="en-US">
            <a:effectLst/>
          </a:endParaRPr>
        </a:p>
        <a:p>
          <a:r>
            <a:rPr lang="en-US" sz="1100" baseline="0">
              <a:solidFill>
                <a:schemeClr val="lt1"/>
              </a:solidFill>
              <a:effectLst/>
              <a:latin typeface="+mn-lt"/>
              <a:ea typeface="+mn-ea"/>
              <a:cs typeface="+mn-cs"/>
            </a:rPr>
            <a:t>What is the Ship state with the most quantity bought?</a:t>
          </a:r>
        </a:p>
        <a:p>
          <a:r>
            <a:rPr lang="en-US" sz="1100" baseline="0">
              <a:solidFill>
                <a:schemeClr val="lt1"/>
              </a:solidFill>
              <a:effectLst/>
              <a:latin typeface="+mn-lt"/>
              <a:ea typeface="+mn-ea"/>
              <a:cs typeface="+mn-cs"/>
            </a:rPr>
            <a:t>Expected Insights: This tells us the state that most goods are shiped to</a:t>
          </a:r>
        </a:p>
        <a:p>
          <a:endParaRPr lang="en-US">
            <a:effectLst/>
          </a:endParaRPr>
        </a:p>
        <a:p>
          <a:r>
            <a:rPr lang="en-US" sz="1100" baseline="0">
              <a:solidFill>
                <a:schemeClr val="lt1"/>
              </a:solidFill>
              <a:effectLst/>
              <a:latin typeface="+mn-lt"/>
              <a:ea typeface="+mn-ea"/>
              <a:cs typeface="+mn-cs"/>
            </a:rPr>
            <a:t>Who is the best performing salesperson by quantity of goods sold?</a:t>
          </a:r>
        </a:p>
        <a:p>
          <a:r>
            <a:rPr lang="en-US" sz="1100" baseline="0">
              <a:solidFill>
                <a:schemeClr val="lt1"/>
              </a:solidFill>
              <a:effectLst/>
              <a:latin typeface="+mn-lt"/>
              <a:ea typeface="+mn-ea"/>
              <a:cs typeface="+mn-cs"/>
            </a:rPr>
            <a:t>Expected Insights: It tell us the salesperson who has gold the most goods</a:t>
          </a:r>
        </a:p>
        <a:p>
          <a:endParaRPr lang="en-US">
            <a:effectLst/>
          </a:endParaRPr>
        </a:p>
        <a:p>
          <a:r>
            <a:rPr lang="en-US" sz="1100" baseline="0">
              <a:solidFill>
                <a:schemeClr val="lt1"/>
              </a:solidFill>
              <a:effectLst/>
              <a:latin typeface="+mn-lt"/>
              <a:ea typeface="+mn-ea"/>
              <a:cs typeface="+mn-cs"/>
            </a:rPr>
            <a:t>What region generated tje most revenue?</a:t>
          </a:r>
        </a:p>
        <a:p>
          <a:r>
            <a:rPr lang="en-US" sz="1100" baseline="0">
              <a:solidFill>
                <a:schemeClr val="lt1"/>
              </a:solidFill>
              <a:effectLst/>
              <a:latin typeface="+mn-lt"/>
              <a:ea typeface="+mn-ea"/>
              <a:cs typeface="+mn-cs"/>
            </a:rPr>
            <a:t>Expected Insights: This tells us the region that generates the most revenue</a:t>
          </a:r>
        </a:p>
        <a:p>
          <a:endParaRPr lang="en-US">
            <a:effectLst/>
          </a:endParaRPr>
        </a:p>
        <a:p>
          <a:r>
            <a:rPr lang="en-US" sz="1100" baseline="0">
              <a:solidFill>
                <a:schemeClr val="lt1"/>
              </a:solidFill>
              <a:effectLst/>
              <a:latin typeface="+mn-lt"/>
              <a:ea typeface="+mn-ea"/>
              <a:cs typeface="+mn-cs"/>
            </a:rPr>
            <a:t>What Region purchased the highest number of goods?</a:t>
          </a:r>
        </a:p>
        <a:p>
          <a:r>
            <a:rPr lang="en-US" sz="1100" baseline="0">
              <a:solidFill>
                <a:schemeClr val="lt1"/>
              </a:solidFill>
              <a:effectLst/>
              <a:latin typeface="+mn-lt"/>
              <a:ea typeface="+mn-ea"/>
              <a:cs typeface="+mn-cs"/>
            </a:rPr>
            <a:t>Expected Insights: This tells us the region that has the highest purchases</a:t>
          </a:r>
        </a:p>
        <a:p>
          <a:endParaRPr lang="en-US">
            <a:effectLst/>
          </a:endParaRPr>
        </a:p>
        <a:p>
          <a:r>
            <a:rPr lang="en-US" sz="1100" baseline="0">
              <a:solidFill>
                <a:schemeClr val="lt1"/>
              </a:solidFill>
              <a:effectLst/>
              <a:latin typeface="+mn-lt"/>
              <a:ea typeface="+mn-ea"/>
              <a:cs typeface="+mn-cs"/>
            </a:rPr>
            <a:t>What Product generated the most revenue?</a:t>
          </a:r>
          <a:endParaRPr lang="en-US">
            <a:effectLst/>
          </a:endParaRPr>
        </a:p>
        <a:p>
          <a:r>
            <a:rPr lang="en-US" sz="1100" baseline="0">
              <a:solidFill>
                <a:schemeClr val="lt1"/>
              </a:solidFill>
              <a:effectLst/>
              <a:latin typeface="+mn-lt"/>
              <a:ea typeface="+mn-ea"/>
              <a:cs typeface="+mn-cs"/>
            </a:rPr>
            <a:t>Expected Insights: This tells us the product with the most revenue</a:t>
          </a:r>
        </a:p>
        <a:p>
          <a:endParaRPr lang="en-US" sz="1100" baseline="0">
            <a:solidFill>
              <a:schemeClr val="lt1"/>
            </a:solidFill>
            <a:effectLst/>
            <a:latin typeface="+mn-lt"/>
            <a:ea typeface="+mn-ea"/>
            <a:cs typeface="+mn-cs"/>
          </a:endParaRPr>
        </a:p>
        <a:p>
          <a:r>
            <a:rPr lang="en-US" sz="1100" baseline="0">
              <a:solidFill>
                <a:schemeClr val="lt1"/>
              </a:solidFill>
              <a:effectLst/>
              <a:latin typeface="+mn-lt"/>
              <a:ea typeface="+mn-ea"/>
              <a:cs typeface="+mn-cs"/>
            </a:rPr>
            <a:t>Which Ship city was the most goods purchased?</a:t>
          </a:r>
        </a:p>
        <a:p>
          <a:r>
            <a:rPr lang="en-US" sz="1100" baseline="0">
              <a:solidFill>
                <a:schemeClr val="lt1"/>
              </a:solidFill>
              <a:effectLst/>
              <a:latin typeface="+mn-lt"/>
              <a:ea typeface="+mn-ea"/>
              <a:cs typeface="+mn-cs"/>
            </a:rPr>
            <a:t>Expected Insights: This narrows down the city with the most goods purchased</a:t>
          </a:r>
        </a:p>
        <a:p>
          <a:endParaRPr lang="en-US">
            <a:effectLst/>
          </a:endParaRPr>
        </a:p>
        <a:p>
          <a:r>
            <a:rPr lang="en-US" sz="1100" baseline="0">
              <a:solidFill>
                <a:schemeClr val="lt1"/>
              </a:solidFill>
              <a:effectLst/>
              <a:latin typeface="+mn-lt"/>
              <a:ea typeface="+mn-ea"/>
              <a:cs typeface="+mn-cs"/>
            </a:rPr>
            <a:t>Which Customer paid the most shipping fee?</a:t>
          </a:r>
        </a:p>
        <a:p>
          <a:r>
            <a:rPr lang="en-US" sz="1100" baseline="0">
              <a:solidFill>
                <a:schemeClr val="lt1"/>
              </a:solidFill>
              <a:effectLst/>
              <a:latin typeface="+mn-lt"/>
              <a:ea typeface="+mn-ea"/>
              <a:cs typeface="+mn-cs"/>
            </a:rPr>
            <a:t>Expected Insights: This tells us the customer that paid the most shipping fee</a:t>
          </a:r>
        </a:p>
        <a:p>
          <a:endParaRPr lang="en-US">
            <a:effectLst/>
          </a:endParaRPr>
        </a:p>
        <a:p>
          <a:r>
            <a:rPr lang="en-US" sz="1100">
              <a:solidFill>
                <a:schemeClr val="lt1"/>
              </a:solidFill>
              <a:effectLst/>
              <a:latin typeface="+mn-lt"/>
              <a:ea typeface="+mn-ea"/>
              <a:cs typeface="+mn-cs"/>
            </a:rPr>
            <a:t>What</a:t>
          </a:r>
          <a:r>
            <a:rPr lang="en-US" sz="1100" baseline="0">
              <a:solidFill>
                <a:schemeClr val="lt1"/>
              </a:solidFill>
              <a:effectLst/>
              <a:latin typeface="+mn-lt"/>
              <a:ea typeface="+mn-ea"/>
              <a:cs typeface="+mn-cs"/>
            </a:rPr>
            <a:t> is the </a:t>
          </a:r>
          <a:r>
            <a:rPr lang="en-US" sz="1100">
              <a:solidFill>
                <a:schemeClr val="lt1"/>
              </a:solidFill>
              <a:effectLst/>
              <a:latin typeface="+mn-lt"/>
              <a:ea typeface="+mn-ea"/>
              <a:cs typeface="+mn-cs"/>
            </a:rPr>
            <a:t>Product</a:t>
          </a:r>
          <a:r>
            <a:rPr lang="en-US" sz="1100" baseline="0">
              <a:solidFill>
                <a:schemeClr val="lt1"/>
              </a:solidFill>
              <a:effectLst/>
              <a:latin typeface="+mn-lt"/>
              <a:ea typeface="+mn-ea"/>
              <a:cs typeface="+mn-cs"/>
            </a:rPr>
            <a:t> with the highest shipping fee?</a:t>
          </a:r>
        </a:p>
        <a:p>
          <a:r>
            <a:rPr lang="en-US" sz="1100" baseline="0">
              <a:solidFill>
                <a:schemeClr val="lt1"/>
              </a:solidFill>
              <a:effectLst/>
              <a:latin typeface="+mn-lt"/>
              <a:ea typeface="+mn-ea"/>
              <a:cs typeface="+mn-cs"/>
            </a:rPr>
            <a:t>Expected Insights: This would tell us the product that was shipped the most and incured the most shipping fee</a:t>
          </a:r>
        </a:p>
        <a:p>
          <a:endParaRPr lang="en-US">
            <a:effectLst/>
          </a:endParaRPr>
        </a:p>
        <a:p>
          <a:r>
            <a:rPr lang="en-US" sz="1100" baseline="0">
              <a:solidFill>
                <a:schemeClr val="lt1"/>
              </a:solidFill>
              <a:effectLst/>
              <a:latin typeface="+mn-lt"/>
              <a:ea typeface="+mn-ea"/>
              <a:cs typeface="+mn-cs"/>
            </a:rPr>
            <a:t>Which Product category generated the highest revenue?</a:t>
          </a:r>
        </a:p>
        <a:p>
          <a:r>
            <a:rPr lang="en-US" sz="1100" baseline="0">
              <a:solidFill>
                <a:schemeClr val="lt1"/>
              </a:solidFill>
              <a:effectLst/>
              <a:latin typeface="+mn-lt"/>
              <a:ea typeface="+mn-ea"/>
              <a:cs typeface="+mn-cs"/>
            </a:rPr>
            <a:t>Expected Insights: This would tell us the product category that generated the highest revenue</a:t>
          </a:r>
          <a:endParaRPr lang="en-US">
            <a:effectLst/>
          </a:endParaRPr>
        </a:p>
        <a:p>
          <a:pPr algn="l"/>
          <a:endParaRPr lang="en-US" sz="1100" baseline="0">
            <a:solidFill>
              <a:schemeClr val="bg1"/>
            </a:solidFill>
          </a:endParaRPr>
        </a:p>
        <a:p>
          <a:pPr algn="ctr"/>
          <a:r>
            <a:rPr lang="en-US" sz="1100" b="1" baseline="0">
              <a:solidFill>
                <a:schemeClr val="bg1"/>
              </a:solidFill>
            </a:rPr>
            <a:t>TASK CHECK</a:t>
          </a:r>
        </a:p>
        <a:p>
          <a:pPr algn="ctr"/>
          <a:endParaRPr lang="en-US" sz="1100" b="1" baseline="0">
            <a:solidFill>
              <a:schemeClr val="bg1"/>
            </a:solidFill>
          </a:endParaRPr>
        </a:p>
        <a:p>
          <a:r>
            <a:rPr lang="en-US" sz="1100">
              <a:solidFill>
                <a:schemeClr val="lt1"/>
              </a:solidFill>
              <a:effectLst/>
              <a:latin typeface="+mn-lt"/>
              <a:ea typeface="+mn-ea"/>
              <a:cs typeface="+mn-cs"/>
            </a:rPr>
            <a:t>Who</a:t>
          </a:r>
          <a:r>
            <a:rPr lang="en-US" sz="1100" baseline="0">
              <a:solidFill>
                <a:schemeClr val="lt1"/>
              </a:solidFill>
              <a:effectLst/>
              <a:latin typeface="+mn-lt"/>
              <a:ea typeface="+mn-ea"/>
              <a:cs typeface="+mn-cs"/>
            </a:rPr>
            <a:t> is the b</a:t>
          </a:r>
          <a:r>
            <a:rPr lang="en-US" sz="1100">
              <a:solidFill>
                <a:schemeClr val="lt1"/>
              </a:solidFill>
              <a:effectLst/>
              <a:latin typeface="+mn-lt"/>
              <a:ea typeface="+mn-ea"/>
              <a:cs typeface="+mn-cs"/>
            </a:rPr>
            <a:t>est</a:t>
          </a:r>
          <a:r>
            <a:rPr lang="en-US" sz="1100" baseline="0">
              <a:solidFill>
                <a:schemeClr val="lt1"/>
              </a:solidFill>
              <a:effectLst/>
              <a:latin typeface="+mn-lt"/>
              <a:ea typeface="+mn-ea"/>
              <a:cs typeface="+mn-cs"/>
            </a:rPr>
            <a:t> perfoming customer by revenue? (Customer/Revenue)</a:t>
          </a:r>
          <a:endParaRPr lang="en-US">
            <a:effectLst/>
          </a:endParaRPr>
        </a:p>
        <a:p>
          <a:r>
            <a:rPr lang="en-US" sz="1100" baseline="0">
              <a:solidFill>
                <a:schemeClr val="lt1"/>
              </a:solidFill>
              <a:effectLst/>
              <a:latin typeface="+mn-lt"/>
              <a:ea typeface="+mn-ea"/>
              <a:cs typeface="+mn-cs"/>
            </a:rPr>
            <a:t>What is Revenue generated by each sales person? (Salesperson/Revenue)</a:t>
          </a:r>
          <a:endParaRPr lang="en-US">
            <a:effectLst/>
          </a:endParaRPr>
        </a:p>
        <a:p>
          <a:r>
            <a:rPr lang="en-US" sz="1100" baseline="0">
              <a:solidFill>
                <a:schemeClr val="lt1"/>
              </a:solidFill>
              <a:effectLst/>
              <a:latin typeface="+mn-lt"/>
              <a:ea typeface="+mn-ea"/>
              <a:cs typeface="+mn-cs"/>
            </a:rPr>
            <a:t>Which customer purchased the highest quantity? (Customer/Quantity)</a:t>
          </a:r>
        </a:p>
        <a:p>
          <a:r>
            <a:rPr lang="en-US" sz="1100" baseline="0">
              <a:solidFill>
                <a:schemeClr val="lt1"/>
              </a:solidFill>
              <a:effectLst/>
              <a:latin typeface="+mn-lt"/>
              <a:ea typeface="+mn-ea"/>
              <a:cs typeface="+mn-cs"/>
            </a:rPr>
            <a:t>What is the most sold product category? (Category/Quantity)</a:t>
          </a:r>
          <a:endParaRPr lang="en-US">
            <a:effectLst/>
          </a:endParaRPr>
        </a:p>
        <a:p>
          <a:r>
            <a:rPr lang="en-US" sz="1100" baseline="0">
              <a:solidFill>
                <a:schemeClr val="lt1"/>
              </a:solidFill>
              <a:effectLst/>
              <a:latin typeface="+mn-lt"/>
              <a:ea typeface="+mn-ea"/>
              <a:cs typeface="+mn-cs"/>
            </a:rPr>
            <a:t>What is the Product with the most quantity purchased? (Product/Quantity)</a:t>
          </a:r>
          <a:endParaRPr lang="en-US">
            <a:effectLst/>
          </a:endParaRPr>
        </a:p>
        <a:p>
          <a:r>
            <a:rPr lang="en-US" sz="1100" baseline="0">
              <a:solidFill>
                <a:schemeClr val="lt1"/>
              </a:solidFill>
              <a:effectLst/>
              <a:latin typeface="+mn-lt"/>
              <a:ea typeface="+mn-ea"/>
              <a:cs typeface="+mn-cs"/>
            </a:rPr>
            <a:t>What is the Most common purchase method  used? (Payment Type/ Quantity)</a:t>
          </a:r>
          <a:endParaRPr lang="en-US">
            <a:effectLst/>
          </a:endParaRPr>
        </a:p>
        <a:p>
          <a:r>
            <a:rPr lang="en-US" sz="1100" baseline="0">
              <a:solidFill>
                <a:schemeClr val="lt1"/>
              </a:solidFill>
              <a:effectLst/>
              <a:latin typeface="+mn-lt"/>
              <a:ea typeface="+mn-ea"/>
              <a:cs typeface="+mn-cs"/>
            </a:rPr>
            <a:t>What ship generated the most revenue? (Ship Name/Revenue)</a:t>
          </a:r>
          <a:endParaRPr lang="en-US">
            <a:effectLst/>
          </a:endParaRPr>
        </a:p>
        <a:p>
          <a:r>
            <a:rPr lang="en-US" sz="1100" baseline="0">
              <a:solidFill>
                <a:schemeClr val="lt1"/>
              </a:solidFill>
              <a:effectLst/>
              <a:latin typeface="+mn-lt"/>
              <a:ea typeface="+mn-ea"/>
              <a:cs typeface="+mn-cs"/>
            </a:rPr>
            <a:t>What is the Ship state with the most quantity bought? (Ship state/ Quantity)</a:t>
          </a:r>
          <a:endParaRPr lang="en-US">
            <a:effectLst/>
          </a:endParaRPr>
        </a:p>
        <a:p>
          <a:r>
            <a:rPr lang="en-US" sz="1100" baseline="0">
              <a:solidFill>
                <a:schemeClr val="lt1"/>
              </a:solidFill>
              <a:effectLst/>
              <a:latin typeface="+mn-lt"/>
              <a:ea typeface="+mn-ea"/>
              <a:cs typeface="+mn-cs"/>
            </a:rPr>
            <a:t>Who is the best performing salesperson by quantity of goods sold? (Salesperson/Quantity)</a:t>
          </a:r>
          <a:endParaRPr lang="en-US">
            <a:effectLst/>
          </a:endParaRPr>
        </a:p>
        <a:p>
          <a:r>
            <a:rPr lang="en-US" sz="1100" baseline="0">
              <a:solidFill>
                <a:schemeClr val="lt1"/>
              </a:solidFill>
              <a:effectLst/>
              <a:latin typeface="+mn-lt"/>
              <a:ea typeface="+mn-ea"/>
              <a:cs typeface="+mn-cs"/>
            </a:rPr>
            <a:t>What region generated tje most revenue? (Region/Revenue)</a:t>
          </a:r>
        </a:p>
        <a:p>
          <a:r>
            <a:rPr lang="en-US" sz="1100" baseline="0">
              <a:solidFill>
                <a:schemeClr val="lt1"/>
              </a:solidFill>
              <a:effectLst/>
              <a:latin typeface="+mn-lt"/>
              <a:ea typeface="+mn-ea"/>
              <a:cs typeface="+mn-cs"/>
            </a:rPr>
            <a:t>What Region purchased the highest number of goods? (Region/Quantity)</a:t>
          </a:r>
          <a:endParaRPr lang="en-US">
            <a:effectLst/>
          </a:endParaRPr>
        </a:p>
        <a:p>
          <a:r>
            <a:rPr lang="en-US" sz="1100" baseline="0">
              <a:solidFill>
                <a:schemeClr val="lt1"/>
              </a:solidFill>
              <a:effectLst/>
              <a:latin typeface="+mn-lt"/>
              <a:ea typeface="+mn-ea"/>
              <a:cs typeface="+mn-cs"/>
            </a:rPr>
            <a:t>What Product generated the most revenue? (Product/Revenue)</a:t>
          </a:r>
          <a:endParaRPr lang="en-US">
            <a:effectLst/>
          </a:endParaRPr>
        </a:p>
        <a:p>
          <a:r>
            <a:rPr lang="en-US" sz="1100" baseline="0">
              <a:solidFill>
                <a:schemeClr val="lt1"/>
              </a:solidFill>
              <a:effectLst/>
              <a:latin typeface="+mn-lt"/>
              <a:ea typeface="+mn-ea"/>
              <a:cs typeface="+mn-cs"/>
            </a:rPr>
            <a:t>Which Ship city was the most goods purchased? (Ship city/Quantity)</a:t>
          </a:r>
          <a:endParaRPr lang="en-US">
            <a:effectLst/>
          </a:endParaRPr>
        </a:p>
        <a:p>
          <a:r>
            <a:rPr lang="en-US" sz="1100" baseline="0">
              <a:solidFill>
                <a:schemeClr val="lt1"/>
              </a:solidFill>
              <a:effectLst/>
              <a:latin typeface="+mn-lt"/>
              <a:ea typeface="+mn-ea"/>
              <a:cs typeface="+mn-cs"/>
            </a:rPr>
            <a:t>Which sales person sold the most goods? (Sales person/ Quantity)</a:t>
          </a:r>
        </a:p>
        <a:p>
          <a:r>
            <a:rPr lang="en-US" sz="1100" baseline="0">
              <a:solidFill>
                <a:schemeClr val="lt1"/>
              </a:solidFill>
              <a:effectLst/>
              <a:latin typeface="+mn-lt"/>
              <a:ea typeface="+mn-ea"/>
              <a:cs typeface="+mn-cs"/>
            </a:rPr>
            <a:t>Which Customer paid the most shipping fee? (Customer/ Shipping fee)</a:t>
          </a:r>
          <a:endParaRPr lang="en-US">
            <a:effectLst/>
          </a:endParaRPr>
        </a:p>
        <a:p>
          <a:r>
            <a:rPr lang="en-US" sz="1100">
              <a:solidFill>
                <a:schemeClr val="lt1"/>
              </a:solidFill>
              <a:effectLst/>
              <a:latin typeface="+mn-lt"/>
              <a:ea typeface="+mn-ea"/>
              <a:cs typeface="+mn-cs"/>
            </a:rPr>
            <a:t>What</a:t>
          </a:r>
          <a:r>
            <a:rPr lang="en-US" sz="1100" baseline="0">
              <a:solidFill>
                <a:schemeClr val="lt1"/>
              </a:solidFill>
              <a:effectLst/>
              <a:latin typeface="+mn-lt"/>
              <a:ea typeface="+mn-ea"/>
              <a:cs typeface="+mn-cs"/>
            </a:rPr>
            <a:t> is the </a:t>
          </a:r>
          <a:r>
            <a:rPr lang="en-US" sz="1100">
              <a:solidFill>
                <a:schemeClr val="lt1"/>
              </a:solidFill>
              <a:effectLst/>
              <a:latin typeface="+mn-lt"/>
              <a:ea typeface="+mn-ea"/>
              <a:cs typeface="+mn-cs"/>
            </a:rPr>
            <a:t>Product</a:t>
          </a:r>
          <a:r>
            <a:rPr lang="en-US" sz="1100" baseline="0">
              <a:solidFill>
                <a:schemeClr val="lt1"/>
              </a:solidFill>
              <a:effectLst/>
              <a:latin typeface="+mn-lt"/>
              <a:ea typeface="+mn-ea"/>
              <a:cs typeface="+mn-cs"/>
            </a:rPr>
            <a:t> with the highest shipping fee? (Product/ shipping fee)</a:t>
          </a:r>
          <a:endParaRPr lang="en-US">
            <a:effectLst/>
          </a:endParaRPr>
        </a:p>
        <a:p>
          <a:r>
            <a:rPr lang="en-US" sz="1100" baseline="0">
              <a:solidFill>
                <a:schemeClr val="lt1"/>
              </a:solidFill>
              <a:effectLst/>
              <a:latin typeface="+mn-lt"/>
              <a:ea typeface="+mn-ea"/>
              <a:cs typeface="+mn-cs"/>
            </a:rPr>
            <a:t>Which Product category generated the highest revenue? (Category/Revenue)</a:t>
          </a:r>
          <a:endParaRPr lang="en-US">
            <a:effectLst/>
          </a:endParaRPr>
        </a:p>
        <a:p>
          <a:pPr algn="l"/>
          <a:endParaRPr lang="en-US" sz="1100" b="1">
            <a:solidFill>
              <a:schemeClr val="bg1"/>
            </a:solidFill>
          </a:endParaRPr>
        </a:p>
      </xdr:txBody>
    </xdr:sp>
    <xdr:clientData/>
  </xdr:twoCellAnchor>
  <xdr:twoCellAnchor>
    <xdr:from>
      <xdr:col>0</xdr:col>
      <xdr:colOff>182564</xdr:colOff>
      <xdr:row>24</xdr:row>
      <xdr:rowOff>134937</xdr:rowOff>
    </xdr:from>
    <xdr:to>
      <xdr:col>11</xdr:col>
      <xdr:colOff>399143</xdr:colOff>
      <xdr:row>42</xdr:row>
      <xdr:rowOff>163286</xdr:rowOff>
    </xdr:to>
    <xdr:sp macro="" textlink="">
      <xdr:nvSpPr>
        <xdr:cNvPr id="2" name="Rectangle: Rounded Corners 1">
          <a:extLst>
            <a:ext uri="{FF2B5EF4-FFF2-40B4-BE49-F238E27FC236}">
              <a16:creationId xmlns:a16="http://schemas.microsoft.com/office/drawing/2014/main" id="{52008C88-3344-23BE-EB6F-6FF91C08CCE6}"/>
            </a:ext>
          </a:extLst>
        </xdr:cNvPr>
        <xdr:cNvSpPr/>
      </xdr:nvSpPr>
      <xdr:spPr>
        <a:xfrm>
          <a:off x="182564" y="4489223"/>
          <a:ext cx="6902222" cy="3294063"/>
        </a:xfrm>
        <a:prstGeom prst="roundRect">
          <a:avLst>
            <a:gd name="adj" fmla="val 4720"/>
          </a:avLst>
        </a:prstGeom>
        <a:solidFill>
          <a:schemeClr val="bg1"/>
        </a:solidFill>
        <a:ln>
          <a:solidFill>
            <a:schemeClr val="tx1"/>
          </a:solidFill>
        </a:ln>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r>
            <a:rPr lang="en-US" sz="1100" b="1">
              <a:solidFill>
                <a:sysClr val="windowText" lastClr="000000"/>
              </a:solidFill>
            </a:rPr>
            <a:t>DATA STORY:</a:t>
          </a:r>
        </a:p>
        <a:p>
          <a:pPr algn="l"/>
          <a:r>
            <a:rPr lang="en-US" sz="1100" b="0">
              <a:solidFill>
                <a:sysClr val="windowText" lastClr="000000"/>
              </a:solidFill>
            </a:rPr>
            <a:t>The data tells a story of different good sold by</a:t>
          </a:r>
          <a:r>
            <a:rPr lang="en-US" sz="1100" b="0" baseline="0">
              <a:solidFill>
                <a:sysClr val="windowText" lastClr="000000"/>
              </a:solidFill>
            </a:rPr>
            <a:t> a firm located in different countries around the world. It highlights the amount and categories of goods purchased, shipping method used, shipping details, customer information, sales person information and payment method used. I can conclude from this that this is a merchant  retail documentation.</a:t>
          </a:r>
        </a:p>
        <a:p>
          <a:pPr algn="l"/>
          <a:endParaRPr lang="en-US" sz="1100" b="0" baseline="0">
            <a:solidFill>
              <a:sysClr val="windowText" lastClr="000000"/>
            </a:solidFill>
          </a:endParaRPr>
        </a:p>
        <a:p>
          <a:pPr algn="l"/>
          <a:r>
            <a:rPr lang="en-US" sz="1100" b="1" baseline="0">
              <a:solidFill>
                <a:sysClr val="windowText" lastClr="000000"/>
              </a:solidFill>
            </a:rPr>
            <a:t>Industry Type:</a:t>
          </a:r>
        </a:p>
        <a:p>
          <a:pPr algn="l"/>
          <a:r>
            <a:rPr lang="en-US" sz="1100" b="0" baseline="0">
              <a:solidFill>
                <a:sysClr val="windowText" lastClr="000000"/>
              </a:solidFill>
            </a:rPr>
            <a:t>E-Commerce</a:t>
          </a:r>
        </a:p>
        <a:p>
          <a:pPr algn="l"/>
          <a:endParaRPr lang="en-US" sz="1100" b="0" baseline="0">
            <a:solidFill>
              <a:sysClr val="windowText" lastClr="000000"/>
            </a:solidFill>
          </a:endParaRPr>
        </a:p>
        <a:p>
          <a:pPr algn="l"/>
          <a:r>
            <a:rPr lang="en-US" sz="1100" b="1" baseline="0">
              <a:solidFill>
                <a:sysClr val="windowText" lastClr="000000"/>
              </a:solidFill>
            </a:rPr>
            <a:t>Stakeholders:</a:t>
          </a:r>
        </a:p>
        <a:p>
          <a:pPr algn="l"/>
          <a:r>
            <a:rPr lang="en-US" sz="1100" b="0" baseline="0">
              <a:solidFill>
                <a:sysClr val="windowText" lastClr="000000"/>
              </a:solidFill>
            </a:rPr>
            <a:t>Chief Executives</a:t>
          </a:r>
        </a:p>
        <a:p>
          <a:pPr algn="l"/>
          <a:r>
            <a:rPr lang="en-US" sz="1100" b="0" baseline="0">
              <a:solidFill>
                <a:sysClr val="windowText" lastClr="000000"/>
              </a:solidFill>
            </a:rPr>
            <a:t>Sales Managers</a:t>
          </a:r>
        </a:p>
        <a:p>
          <a:pPr algn="l"/>
          <a:r>
            <a:rPr lang="en-US" sz="1100" b="0" baseline="0">
              <a:solidFill>
                <a:sysClr val="windowText" lastClr="000000"/>
              </a:solidFill>
            </a:rPr>
            <a:t>Cuatomer satisfaction reps</a:t>
          </a:r>
        </a:p>
        <a:p>
          <a:pPr algn="l"/>
          <a:endParaRPr lang="en-US" sz="1100" b="1" baseline="0">
            <a:solidFill>
              <a:sysClr val="windowText" lastClr="000000"/>
            </a:solidFill>
          </a:endParaRPr>
        </a:p>
        <a:p>
          <a:pPr algn="l"/>
          <a:r>
            <a:rPr lang="en-US" sz="1100" b="1" baseline="0">
              <a:solidFill>
                <a:sysClr val="windowText" lastClr="000000"/>
              </a:solidFill>
            </a:rPr>
            <a:t>What success means to this industry</a:t>
          </a:r>
          <a:r>
            <a:rPr lang="en-US" sz="1100" b="0" baseline="0">
              <a:solidFill>
                <a:sysClr val="windowText" lastClr="000000"/>
              </a:solidFill>
            </a:rPr>
            <a:t>:</a:t>
          </a:r>
        </a:p>
        <a:p>
          <a:pPr algn="l"/>
          <a:r>
            <a:rPr lang="en-US" sz="1100" b="0" baseline="0">
              <a:solidFill>
                <a:sysClr val="windowText" lastClr="000000"/>
              </a:solidFill>
            </a:rPr>
            <a:t>Generating more revenue</a:t>
          </a:r>
        </a:p>
        <a:p>
          <a:pPr algn="l"/>
          <a:r>
            <a:rPr lang="en-US" sz="1100" b="0" baseline="0">
              <a:solidFill>
                <a:sysClr val="windowText" lastClr="000000"/>
              </a:solidFill>
            </a:rPr>
            <a:t>Providing maximum customer satisfaction</a:t>
          </a:r>
        </a:p>
        <a:p>
          <a:pPr algn="l"/>
          <a:r>
            <a:rPr lang="en-US" sz="1100" b="0" baseline="0">
              <a:solidFill>
                <a:sysClr val="windowText" lastClr="000000"/>
              </a:solidFill>
            </a:rPr>
            <a:t>Improving overall  performance of the firm</a:t>
          </a:r>
          <a:endParaRPr lang="en-US" sz="1100" b="0">
            <a:solidFill>
              <a:sysClr val="windowText" lastClr="000000"/>
            </a:solidFill>
          </a:endParaRPr>
        </a:p>
      </xdr:txBody>
    </xdr:sp>
    <xdr:clientData/>
  </xdr:twoCellAnchor>
  <xdr:twoCellAnchor>
    <xdr:from>
      <xdr:col>23</xdr:col>
      <xdr:colOff>532157</xdr:colOff>
      <xdr:row>1</xdr:row>
      <xdr:rowOff>7774</xdr:rowOff>
    </xdr:from>
    <xdr:to>
      <xdr:col>35</xdr:col>
      <xdr:colOff>200370</xdr:colOff>
      <xdr:row>26</xdr:row>
      <xdr:rowOff>45874</xdr:rowOff>
    </xdr:to>
    <xdr:sp macro="" textlink="">
      <xdr:nvSpPr>
        <xdr:cNvPr id="6" name="Rectangle: Rounded Corners 5">
          <a:extLst>
            <a:ext uri="{FF2B5EF4-FFF2-40B4-BE49-F238E27FC236}">
              <a16:creationId xmlns:a16="http://schemas.microsoft.com/office/drawing/2014/main" id="{1EDAEA47-D26D-83C9-4B52-ADA841E4A1E0}"/>
            </a:ext>
          </a:extLst>
        </xdr:cNvPr>
        <xdr:cNvSpPr/>
      </xdr:nvSpPr>
      <xdr:spPr>
        <a:xfrm>
          <a:off x="15554443" y="194387"/>
          <a:ext cx="7505927" cy="4703406"/>
        </a:xfrm>
        <a:prstGeom prst="roundRect">
          <a:avLst>
            <a:gd name="adj" fmla="val 4720"/>
          </a:avLst>
        </a:prstGeom>
        <a:solidFill>
          <a:schemeClr val="accent1">
            <a:lumMod val="50000"/>
          </a:schemeClr>
        </a:solidFill>
        <a:ln>
          <a:noFill/>
        </a:ln>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ctr"/>
          <a:r>
            <a:rPr lang="en-US" sz="1100" b="1">
              <a:solidFill>
                <a:schemeClr val="bg1"/>
              </a:solidFill>
            </a:rPr>
            <a:t>POTENTIAL</a:t>
          </a:r>
          <a:r>
            <a:rPr lang="en-US" sz="1100" b="1" baseline="0">
              <a:solidFill>
                <a:schemeClr val="bg1"/>
              </a:solidFill>
            </a:rPr>
            <a:t> CITATIONS (MOW)</a:t>
          </a:r>
          <a:endParaRPr lang="en-US" sz="1100" b="1">
            <a:solidFill>
              <a:schemeClr val="bg1"/>
            </a:solidFill>
          </a:endParaRPr>
        </a:p>
        <a:p>
          <a:pPr algn="l"/>
          <a:r>
            <a:rPr lang="en-US" sz="1100">
              <a:solidFill>
                <a:schemeClr val="bg1"/>
              </a:solidFill>
            </a:rPr>
            <a:t>Sales trend report:</a:t>
          </a:r>
          <a:r>
            <a:rPr lang="en-US" sz="1100" baseline="0">
              <a:solidFill>
                <a:schemeClr val="bg1"/>
              </a:solidFill>
            </a:rPr>
            <a:t> Trying to find sales made over time</a:t>
          </a:r>
          <a:endParaRPr lang="en-US" sz="1100">
            <a:solidFill>
              <a:schemeClr val="bg1"/>
            </a:solidFill>
          </a:endParaRPr>
        </a:p>
        <a:p>
          <a:pPr algn="l"/>
          <a:r>
            <a:rPr lang="en-US" sz="1100">
              <a:solidFill>
                <a:schemeClr val="bg1"/>
              </a:solidFill>
            </a:rPr>
            <a:t>How to: Revenue X Order</a:t>
          </a:r>
          <a:r>
            <a:rPr lang="en-US" sz="1100" baseline="0">
              <a:solidFill>
                <a:schemeClr val="bg1"/>
              </a:solidFill>
            </a:rPr>
            <a:t> date</a:t>
          </a:r>
          <a:endParaRPr lang="en-US" sz="1100">
            <a:solidFill>
              <a:schemeClr val="bg1"/>
            </a:solidFill>
          </a:endParaRPr>
        </a:p>
        <a:p>
          <a:pPr algn="l"/>
          <a:r>
            <a:rPr lang="en-US" sz="1100">
              <a:solidFill>
                <a:schemeClr val="bg1"/>
              </a:solidFill>
            </a:rPr>
            <a:t>P.</a:t>
          </a:r>
          <a:r>
            <a:rPr lang="en-US" sz="1100" baseline="0">
              <a:solidFill>
                <a:schemeClr val="bg1"/>
              </a:solidFill>
            </a:rPr>
            <a:t> Insight: would help fine tune the month, days with the highest sales/ low sales</a:t>
          </a:r>
        </a:p>
        <a:p>
          <a:pPr algn="l"/>
          <a:endParaRPr lang="en-US" sz="1100">
            <a:solidFill>
              <a:schemeClr val="bg1"/>
            </a:solidFill>
          </a:endParaRPr>
        </a:p>
        <a:p>
          <a:pPr algn="l"/>
          <a:r>
            <a:rPr lang="en-US" sz="1100">
              <a:solidFill>
                <a:schemeClr val="bg1"/>
              </a:solidFill>
            </a:rPr>
            <a:t>Top 10 customers : Trying to</a:t>
          </a:r>
          <a:r>
            <a:rPr lang="en-US" sz="1100" baseline="0">
              <a:solidFill>
                <a:schemeClr val="bg1"/>
              </a:solidFill>
            </a:rPr>
            <a:t> find the top 10 customerrs that have  brought the highest revenue to the firm</a:t>
          </a:r>
        </a:p>
        <a:p>
          <a:pPr algn="l"/>
          <a:r>
            <a:rPr lang="en-US" sz="1100" baseline="0">
              <a:solidFill>
                <a:schemeClr val="bg1"/>
              </a:solidFill>
            </a:rPr>
            <a:t>How to: Customer Name X Revenue</a:t>
          </a:r>
        </a:p>
        <a:p>
          <a:pPr algn="l"/>
          <a:r>
            <a:rPr lang="en-US" sz="1100" baseline="0">
              <a:solidFill>
                <a:schemeClr val="bg1"/>
              </a:solidFill>
            </a:rPr>
            <a:t>P. Insight.: This would fine tune the top performing customers in the firm and rank them according to revenue</a:t>
          </a:r>
        </a:p>
        <a:p>
          <a:pPr algn="l"/>
          <a:endParaRPr lang="en-US" sz="1100">
            <a:solidFill>
              <a:schemeClr val="bg1"/>
            </a:solidFill>
          </a:endParaRPr>
        </a:p>
        <a:p>
          <a:pPr algn="l"/>
          <a:r>
            <a:rPr lang="en-US" sz="1100">
              <a:solidFill>
                <a:schemeClr val="bg1"/>
              </a:solidFill>
            </a:rPr>
            <a:t>Sales by Rep : Trying</a:t>
          </a:r>
          <a:r>
            <a:rPr lang="en-US" sz="1100" baseline="0">
              <a:solidFill>
                <a:schemeClr val="bg1"/>
              </a:solidFill>
            </a:rPr>
            <a:t> to find the sales made by each sales person</a:t>
          </a:r>
        </a:p>
        <a:p>
          <a:pPr algn="l"/>
          <a:r>
            <a:rPr lang="en-US" sz="1100" baseline="0">
              <a:solidFill>
                <a:schemeClr val="bg1"/>
              </a:solidFill>
            </a:rPr>
            <a:t>How to: Salesperson X Revenue</a:t>
          </a:r>
        </a:p>
        <a:p>
          <a:pPr algn="l"/>
          <a:r>
            <a:rPr lang="en-US" sz="1100" baseline="0">
              <a:solidFill>
                <a:schemeClr val="bg1"/>
              </a:solidFill>
            </a:rPr>
            <a:t>P.Insight: This would help identify the best performing sales person by the  amount of revenue generated for the company.</a:t>
          </a:r>
        </a:p>
        <a:p>
          <a:pPr algn="l"/>
          <a:endParaRPr lang="en-US" sz="1100">
            <a:solidFill>
              <a:schemeClr val="bg1"/>
            </a:solidFill>
          </a:endParaRPr>
        </a:p>
        <a:p>
          <a:pPr algn="l"/>
          <a:r>
            <a:rPr lang="en-US" sz="1100">
              <a:solidFill>
                <a:schemeClr val="bg1"/>
              </a:solidFill>
            </a:rPr>
            <a:t>Sales by Region : Trying to find the sales</a:t>
          </a:r>
          <a:r>
            <a:rPr lang="en-US" sz="1100" baseline="0">
              <a:solidFill>
                <a:schemeClr val="bg1"/>
              </a:solidFill>
            </a:rPr>
            <a:t> made across each region.</a:t>
          </a:r>
        </a:p>
        <a:p>
          <a:pPr algn="l"/>
          <a:r>
            <a:rPr lang="en-US" sz="1100" baseline="0">
              <a:solidFill>
                <a:schemeClr val="bg1"/>
              </a:solidFill>
            </a:rPr>
            <a:t>How to: Region X Revenue</a:t>
          </a:r>
        </a:p>
        <a:p>
          <a:pPr algn="l"/>
          <a:r>
            <a:rPr lang="en-US" sz="1100" baseline="0">
              <a:solidFill>
                <a:schemeClr val="bg1"/>
              </a:solidFill>
            </a:rPr>
            <a:t>P. insight: This would help to highlight the region  which performed the best and the least in sales.</a:t>
          </a:r>
        </a:p>
        <a:p>
          <a:pPr algn="l"/>
          <a:endParaRPr lang="en-US" sz="1100">
            <a:solidFill>
              <a:schemeClr val="bg1"/>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a:solidFill>
                <a:schemeClr val="lt1"/>
              </a:solidFill>
              <a:effectLst/>
              <a:latin typeface="+mn-lt"/>
              <a:ea typeface="+mn-ea"/>
              <a:cs typeface="+mn-cs"/>
            </a:rPr>
            <a:t>Sales By Product category :</a:t>
          </a:r>
          <a:r>
            <a:rPr lang="en-US" sz="1100" baseline="0">
              <a:solidFill>
                <a:schemeClr val="lt1"/>
              </a:solidFill>
              <a:effectLst/>
              <a:latin typeface="+mn-lt"/>
              <a:ea typeface="+mn-ea"/>
              <a:cs typeface="+mn-cs"/>
            </a:rPr>
            <a:t> Trying to find the sales made across each category</a:t>
          </a:r>
          <a:br>
            <a:rPr lang="en-US" sz="1100" baseline="0">
              <a:solidFill>
                <a:schemeClr val="lt1"/>
              </a:solidFill>
              <a:effectLst/>
              <a:latin typeface="+mn-lt"/>
              <a:ea typeface="+mn-ea"/>
              <a:cs typeface="+mn-cs"/>
            </a:rPr>
          </a:br>
          <a:r>
            <a:rPr lang="en-US" sz="1100" baseline="0">
              <a:solidFill>
                <a:schemeClr val="lt1"/>
              </a:solidFill>
              <a:effectLst/>
              <a:latin typeface="+mn-lt"/>
              <a:ea typeface="+mn-ea"/>
              <a:cs typeface="+mn-cs"/>
            </a:rPr>
            <a:t>How to: Category X Revenue</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lt1"/>
              </a:solidFill>
              <a:effectLst/>
              <a:latin typeface="+mn-lt"/>
              <a:ea typeface="+mn-ea"/>
              <a:cs typeface="+mn-cs"/>
            </a:rPr>
            <a:t>P. Insight: This would help identify and finetune the product category that generated the most/least revenue and compare the sales made</a:t>
          </a:r>
          <a:endParaRPr lang="en-US">
            <a:effectLst/>
          </a:endParaRPr>
        </a:p>
        <a:p>
          <a:pPr algn="l"/>
          <a:endParaRPr lang="en-US" sz="1100">
            <a:solidFill>
              <a:schemeClr val="bg1"/>
            </a:solidFill>
          </a:endParaRPr>
        </a:p>
        <a:p>
          <a:pPr algn="l"/>
          <a:r>
            <a:rPr lang="en-US" sz="1100">
              <a:solidFill>
                <a:schemeClr val="bg1"/>
              </a:solidFill>
            </a:rPr>
            <a:t>Transaction by Amount. </a:t>
          </a:r>
        </a:p>
        <a:p>
          <a:pPr algn="l"/>
          <a:r>
            <a:rPr lang="en-US" sz="1100">
              <a:solidFill>
                <a:schemeClr val="bg1"/>
              </a:solidFill>
            </a:rPr>
            <a:t>Top 6 ship cities by revenue  </a:t>
          </a:r>
        </a:p>
        <a:p>
          <a:pPr algn="l"/>
          <a:r>
            <a:rPr lang="en-US" sz="1100">
              <a:solidFill>
                <a:schemeClr val="bg1"/>
              </a:solidFill>
            </a:rPr>
            <a:t>Top 5 cities By revenue  </a:t>
          </a:r>
        </a:p>
        <a:p>
          <a:pPr algn="l"/>
          <a:endParaRPr lang="en-US" sz="1100" baseline="0">
            <a:solidFill>
              <a:schemeClr val="bg1"/>
            </a:solidFill>
          </a:endParaRPr>
        </a:p>
      </xdr:txBody>
    </xdr:sp>
    <xdr:clientData/>
  </xdr:twoCellAnchor>
  <xdr:twoCellAnchor>
    <xdr:from>
      <xdr:col>35</xdr:col>
      <xdr:colOff>290813</xdr:colOff>
      <xdr:row>1</xdr:row>
      <xdr:rowOff>12701</xdr:rowOff>
    </xdr:from>
    <xdr:to>
      <xdr:col>46</xdr:col>
      <xdr:colOff>568626</xdr:colOff>
      <xdr:row>17</xdr:row>
      <xdr:rowOff>177800</xdr:rowOff>
    </xdr:to>
    <xdr:sp macro="" textlink="">
      <xdr:nvSpPr>
        <xdr:cNvPr id="7" name="Rectangle: Rounded Corners 6">
          <a:extLst>
            <a:ext uri="{FF2B5EF4-FFF2-40B4-BE49-F238E27FC236}">
              <a16:creationId xmlns:a16="http://schemas.microsoft.com/office/drawing/2014/main" id="{4768F404-131C-173F-6E5B-13423DE7DCE8}"/>
            </a:ext>
          </a:extLst>
        </xdr:cNvPr>
        <xdr:cNvSpPr/>
      </xdr:nvSpPr>
      <xdr:spPr>
        <a:xfrm>
          <a:off x="21626813" y="203201"/>
          <a:ext cx="6983413" cy="3213099"/>
        </a:xfrm>
        <a:prstGeom prst="roundRect">
          <a:avLst>
            <a:gd name="adj" fmla="val 4720"/>
          </a:avLst>
        </a:prstGeom>
        <a:solidFill>
          <a:schemeClr val="accent1">
            <a:lumMod val="50000"/>
          </a:schemeClr>
        </a:solidFill>
        <a:ln>
          <a:noFill/>
        </a:ln>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ctr"/>
          <a:r>
            <a:rPr lang="en-US" sz="1100" b="1">
              <a:solidFill>
                <a:schemeClr val="bg1"/>
              </a:solidFill>
            </a:rPr>
            <a:t>POTENTIAL</a:t>
          </a:r>
          <a:r>
            <a:rPr lang="en-US" sz="1100" b="1" baseline="0">
              <a:solidFill>
                <a:schemeClr val="bg1"/>
              </a:solidFill>
            </a:rPr>
            <a:t> CITATIONS </a:t>
          </a:r>
          <a:endParaRPr lang="en-US" sz="1100" b="1">
            <a:solidFill>
              <a:schemeClr val="bg1"/>
            </a:solidFill>
          </a:endParaRPr>
        </a:p>
        <a:p>
          <a:r>
            <a:rPr lang="en-US" b="1"/>
            <a:t>Sales Trend Analysis </a:t>
          </a:r>
        </a:p>
        <a:p>
          <a:r>
            <a:rPr lang="en-US" b="1"/>
            <a:t>Objective</a:t>
          </a:r>
          <a:br>
            <a:rPr lang="en-US"/>
          </a:br>
          <a:r>
            <a:rPr lang="en-US"/>
            <a:t>To analyze sales performance over time by examining the relationship between </a:t>
          </a:r>
          <a:r>
            <a:rPr lang="en-US" b="1"/>
            <a:t>Revenue</a:t>
          </a:r>
          <a:r>
            <a:rPr lang="en-US"/>
            <a:t> and </a:t>
          </a:r>
          <a:r>
            <a:rPr lang="en-US" b="1"/>
            <a:t>Order Date</a:t>
          </a:r>
          <a:r>
            <a:rPr lang="en-US"/>
            <a:t>.</a:t>
          </a:r>
        </a:p>
        <a:p>
          <a:r>
            <a:rPr lang="en-US" b="1"/>
            <a:t>Analytical Focus</a:t>
          </a:r>
          <a:endParaRPr lang="en-US"/>
        </a:p>
        <a:p>
          <a:r>
            <a:rPr lang="en-US"/>
            <a:t>Track revenue patterns across different time periods</a:t>
          </a:r>
        </a:p>
        <a:p>
          <a:r>
            <a:rPr lang="en-US"/>
            <a:t>Identify trends in daily, weekly, and monthly sales performance</a:t>
          </a:r>
        </a:p>
        <a:p>
          <a:r>
            <a:rPr lang="en-US" b="1"/>
            <a:t>Key Business Insight</a:t>
          </a:r>
          <a:br>
            <a:rPr lang="en-US"/>
          </a:br>
          <a:r>
            <a:rPr lang="en-US"/>
            <a:t>This analysis will enable the identification of:</a:t>
          </a:r>
        </a:p>
        <a:p>
          <a:r>
            <a:rPr lang="en-US"/>
            <a:t>Months and days with </a:t>
          </a:r>
          <a:r>
            <a:rPr lang="en-US" b="1"/>
            <a:t>peak sales performance</a:t>
          </a:r>
          <a:endParaRPr lang="en-US"/>
        </a:p>
        <a:p>
          <a:r>
            <a:rPr lang="en-US"/>
            <a:t>Periods with </a:t>
          </a:r>
          <a:r>
            <a:rPr lang="en-US" b="1"/>
            <a:t>low or declining sales</a:t>
          </a:r>
          <a:endParaRPr lang="en-US"/>
        </a:p>
        <a:p>
          <a:r>
            <a:rPr lang="en-US" b="1"/>
            <a:t>Value to Decision-Making</a:t>
          </a:r>
          <a:br>
            <a:rPr lang="en-US"/>
          </a:br>
          <a:r>
            <a:rPr lang="en-US"/>
            <a:t>Insights derived will support:</a:t>
          </a:r>
        </a:p>
        <a:p>
          <a:r>
            <a:rPr lang="en-US"/>
            <a:t>Improved sales forecasting</a:t>
          </a:r>
        </a:p>
        <a:p>
          <a:r>
            <a:rPr lang="en-US"/>
            <a:t>Better timing of marketing and promotional activities</a:t>
          </a:r>
        </a:p>
        <a:p>
          <a:r>
            <a:rPr lang="en-US"/>
            <a:t>Strategic planning to optimize revenue during high-performing periods and address low-performing ones</a:t>
          </a:r>
        </a:p>
        <a:p>
          <a:pPr algn="l"/>
          <a:endParaRPr lang="en-US" sz="1100" baseline="0">
            <a:solidFill>
              <a:schemeClr val="bg1"/>
            </a:solidFill>
          </a:endParaRPr>
        </a:p>
      </xdr:txBody>
    </xdr:sp>
    <xdr:clientData/>
  </xdr:twoCellAnchor>
  <xdr:twoCellAnchor>
    <xdr:from>
      <xdr:col>35</xdr:col>
      <xdr:colOff>379713</xdr:colOff>
      <xdr:row>18</xdr:row>
      <xdr:rowOff>63501</xdr:rowOff>
    </xdr:from>
    <xdr:to>
      <xdr:col>47</xdr:col>
      <xdr:colOff>47926</xdr:colOff>
      <xdr:row>35</xdr:row>
      <xdr:rowOff>38100</xdr:rowOff>
    </xdr:to>
    <xdr:sp macro="" textlink="">
      <xdr:nvSpPr>
        <xdr:cNvPr id="5" name="Rectangle: Rounded Corners 4">
          <a:extLst>
            <a:ext uri="{FF2B5EF4-FFF2-40B4-BE49-F238E27FC236}">
              <a16:creationId xmlns:a16="http://schemas.microsoft.com/office/drawing/2014/main" id="{8ED5AD30-D839-6109-030F-8D97D96E2D80}"/>
            </a:ext>
          </a:extLst>
        </xdr:cNvPr>
        <xdr:cNvSpPr/>
      </xdr:nvSpPr>
      <xdr:spPr>
        <a:xfrm>
          <a:off x="21715713" y="3492501"/>
          <a:ext cx="6983413" cy="3213099"/>
        </a:xfrm>
        <a:prstGeom prst="roundRect">
          <a:avLst>
            <a:gd name="adj" fmla="val 4720"/>
          </a:avLst>
        </a:prstGeom>
        <a:solidFill>
          <a:schemeClr val="accent1">
            <a:lumMod val="50000"/>
          </a:schemeClr>
        </a:solidFill>
        <a:ln>
          <a:noFill/>
        </a:ln>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ctr"/>
          <a:r>
            <a:rPr lang="en-US" sz="1100" b="1">
              <a:solidFill>
                <a:schemeClr val="bg1"/>
              </a:solidFill>
            </a:rPr>
            <a:t>POTENTIAL</a:t>
          </a:r>
          <a:r>
            <a:rPr lang="en-US" sz="1100" b="1" baseline="0">
              <a:solidFill>
                <a:schemeClr val="bg1"/>
              </a:solidFill>
            </a:rPr>
            <a:t> CITATIONS </a:t>
          </a:r>
          <a:endParaRPr lang="en-US" sz="1100" b="1">
            <a:solidFill>
              <a:schemeClr val="bg1"/>
            </a:solidFill>
          </a:endParaRPr>
        </a:p>
        <a:p>
          <a:r>
            <a:rPr lang="en-US" b="1"/>
            <a:t>Top 10 Customers Analysis </a:t>
          </a:r>
        </a:p>
        <a:p>
          <a:r>
            <a:rPr lang="en-US" b="1"/>
            <a:t>Objective</a:t>
          </a:r>
          <a:br>
            <a:rPr lang="en-US"/>
          </a:br>
          <a:r>
            <a:rPr lang="en-US"/>
            <a:t>To identify and rank the </a:t>
          </a:r>
          <a:r>
            <a:rPr lang="en-US" b="1"/>
            <a:t>top 10 customers</a:t>
          </a:r>
          <a:r>
            <a:rPr lang="en-US"/>
            <a:t> who contribute the </a:t>
          </a:r>
          <a:r>
            <a:rPr lang="en-US" b="1"/>
            <a:t>highest revenue</a:t>
          </a:r>
          <a:r>
            <a:rPr lang="en-US"/>
            <a:t> to the firm.</a:t>
          </a:r>
        </a:p>
        <a:p>
          <a:r>
            <a:rPr lang="en-US" b="1"/>
            <a:t>Analytical Approach</a:t>
          </a:r>
          <a:endParaRPr lang="en-US"/>
        </a:p>
        <a:p>
          <a:r>
            <a:rPr lang="en-US"/>
            <a:t>Analyze </a:t>
          </a:r>
          <a:r>
            <a:rPr lang="en-US" b="1"/>
            <a:t>Customer Name</a:t>
          </a:r>
          <a:r>
            <a:rPr lang="en-US"/>
            <a:t> against </a:t>
          </a:r>
          <a:r>
            <a:rPr lang="en-US" b="1"/>
            <a:t>Revenue generated</a:t>
          </a:r>
          <a:endParaRPr lang="en-US"/>
        </a:p>
        <a:p>
          <a:r>
            <a:rPr lang="en-US"/>
            <a:t>Rank customers based on total revenue contribution</a:t>
          </a:r>
        </a:p>
        <a:p>
          <a:r>
            <a:rPr lang="en-US" b="1"/>
            <a:t>Key Business Insight</a:t>
          </a:r>
          <a:br>
            <a:rPr lang="en-US"/>
          </a:br>
          <a:r>
            <a:rPr lang="en-US"/>
            <a:t>This analysis will highlight the firm’s </a:t>
          </a:r>
          <a:r>
            <a:rPr lang="en-US" b="1"/>
            <a:t>highest-performing customers</a:t>
          </a:r>
          <a:r>
            <a:rPr lang="en-US"/>
            <a:t>, enabling clear visibility into:</a:t>
          </a:r>
        </a:p>
        <a:p>
          <a:r>
            <a:rPr lang="en-US"/>
            <a:t>Revenue concentration among key clients</a:t>
          </a:r>
        </a:p>
        <a:p>
          <a:r>
            <a:rPr lang="en-US"/>
            <a:t>Customers that drive the largest share of total sales</a:t>
          </a:r>
        </a:p>
        <a:p>
          <a:r>
            <a:rPr lang="en-US" b="1"/>
            <a:t>Value to the Business</a:t>
          </a:r>
          <a:br>
            <a:rPr lang="en-US"/>
          </a:br>
          <a:r>
            <a:rPr lang="en-US"/>
            <a:t>Findings will support:</a:t>
          </a:r>
        </a:p>
        <a:p>
          <a:r>
            <a:rPr lang="en-US"/>
            <a:t>Targeted customer retention and loyalty strategies</a:t>
          </a:r>
        </a:p>
        <a:p>
          <a:r>
            <a:rPr lang="en-US"/>
            <a:t>Improved relationship management with high-value customers</a:t>
          </a:r>
        </a:p>
        <a:p>
          <a:r>
            <a:rPr lang="en-US"/>
            <a:t>Data-driven prioritization of sales and account management efforts</a:t>
          </a:r>
        </a:p>
        <a:p>
          <a:endParaRPr lang="en-US" sz="1100" baseline="0">
            <a:solidFill>
              <a:schemeClr val="bg1"/>
            </a:solidFill>
          </a:endParaRPr>
        </a:p>
      </xdr:txBody>
    </xdr:sp>
    <xdr:clientData/>
  </xdr:twoCellAnchor>
  <xdr:twoCellAnchor>
    <xdr:from>
      <xdr:col>35</xdr:col>
      <xdr:colOff>417813</xdr:colOff>
      <xdr:row>35</xdr:row>
      <xdr:rowOff>88901</xdr:rowOff>
    </xdr:from>
    <xdr:to>
      <xdr:col>47</xdr:col>
      <xdr:colOff>86026</xdr:colOff>
      <xdr:row>49</xdr:row>
      <xdr:rowOff>0</xdr:rowOff>
    </xdr:to>
    <xdr:sp macro="" textlink="">
      <xdr:nvSpPr>
        <xdr:cNvPr id="8" name="Rectangle: Rounded Corners 7">
          <a:extLst>
            <a:ext uri="{FF2B5EF4-FFF2-40B4-BE49-F238E27FC236}">
              <a16:creationId xmlns:a16="http://schemas.microsoft.com/office/drawing/2014/main" id="{2DF2219E-BBD4-5041-2A4E-8A5FA0CCA978}"/>
            </a:ext>
          </a:extLst>
        </xdr:cNvPr>
        <xdr:cNvSpPr/>
      </xdr:nvSpPr>
      <xdr:spPr>
        <a:xfrm>
          <a:off x="21753813" y="6756401"/>
          <a:ext cx="6983413" cy="2578099"/>
        </a:xfrm>
        <a:prstGeom prst="roundRect">
          <a:avLst>
            <a:gd name="adj" fmla="val 4720"/>
          </a:avLst>
        </a:prstGeom>
        <a:solidFill>
          <a:schemeClr val="accent1">
            <a:lumMod val="50000"/>
          </a:schemeClr>
        </a:solidFill>
        <a:ln>
          <a:noFill/>
        </a:ln>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ctr"/>
          <a:r>
            <a:rPr lang="en-US" sz="1100" b="1">
              <a:solidFill>
                <a:schemeClr val="bg1"/>
              </a:solidFill>
            </a:rPr>
            <a:t>POTENTIAL</a:t>
          </a:r>
          <a:r>
            <a:rPr lang="en-US" sz="1100" b="1" baseline="0">
              <a:solidFill>
                <a:schemeClr val="bg1"/>
              </a:solidFill>
            </a:rPr>
            <a:t> CITATIONS </a:t>
          </a:r>
          <a:endParaRPr lang="en-US" sz="1100" b="1">
            <a:solidFill>
              <a:schemeClr val="bg1"/>
            </a:solidFill>
          </a:endParaRPr>
        </a:p>
        <a:p>
          <a:r>
            <a:rPr lang="en-US" b="1"/>
            <a:t>Sales by Representative</a:t>
          </a:r>
        </a:p>
        <a:p>
          <a:r>
            <a:rPr lang="en-US" b="1"/>
            <a:t>Objective</a:t>
          </a:r>
          <a:br>
            <a:rPr lang="en-US"/>
          </a:br>
          <a:r>
            <a:rPr lang="en-US"/>
            <a:t>To evaluate revenue generated by each sales representative.</a:t>
          </a:r>
        </a:p>
        <a:p>
          <a:r>
            <a:rPr lang="en-US" b="1"/>
            <a:t>Analytical Approach</a:t>
          </a:r>
          <a:endParaRPr lang="en-US"/>
        </a:p>
        <a:p>
          <a:r>
            <a:rPr lang="en-US"/>
            <a:t>Analyze </a:t>
          </a:r>
          <a:r>
            <a:rPr lang="en-US" b="1"/>
            <a:t>Sales Representative</a:t>
          </a:r>
          <a:r>
            <a:rPr lang="en-US"/>
            <a:t> against </a:t>
          </a:r>
          <a:r>
            <a:rPr lang="en-US" b="1"/>
            <a:t>Revenue</a:t>
          </a:r>
          <a:endParaRPr lang="en-US"/>
        </a:p>
        <a:p>
          <a:r>
            <a:rPr lang="en-US" b="1"/>
            <a:t>Key Business Insight</a:t>
          </a:r>
          <a:br>
            <a:rPr lang="en-US"/>
          </a:br>
          <a:r>
            <a:rPr lang="en-US"/>
            <a:t>This analysis will identify the </a:t>
          </a:r>
          <a:r>
            <a:rPr lang="en-US" b="1"/>
            <a:t>top-performing sales personnel</a:t>
          </a:r>
          <a:r>
            <a:rPr lang="en-US"/>
            <a:t> based on revenue contribution, providing clarity on individual performance levels.</a:t>
          </a:r>
        </a:p>
        <a:p>
          <a:r>
            <a:rPr lang="en-US" b="1"/>
            <a:t>Business Value</a:t>
          </a:r>
          <a:endParaRPr lang="en-US"/>
        </a:p>
        <a:p>
          <a:r>
            <a:rPr lang="en-US"/>
            <a:t>Supports performance benchmarking</a:t>
          </a:r>
        </a:p>
        <a:p>
          <a:r>
            <a:rPr lang="en-US"/>
            <a:t>Informs incentive, training, and reward strategies</a:t>
          </a:r>
        </a:p>
        <a:p>
          <a:r>
            <a:rPr lang="en-US"/>
            <a:t>Highlights best practices that can be replicated across the sales team</a:t>
          </a:r>
        </a:p>
        <a:p>
          <a:endParaRPr lang="en-US" sz="1100" baseline="0">
            <a:solidFill>
              <a:schemeClr val="bg1"/>
            </a:solidFill>
          </a:endParaRPr>
        </a:p>
      </xdr:txBody>
    </xdr:sp>
    <xdr:clientData/>
  </xdr:twoCellAnchor>
  <xdr:twoCellAnchor>
    <xdr:from>
      <xdr:col>47</xdr:col>
      <xdr:colOff>113013</xdr:colOff>
      <xdr:row>15</xdr:row>
      <xdr:rowOff>25402</xdr:rowOff>
    </xdr:from>
    <xdr:to>
      <xdr:col>58</xdr:col>
      <xdr:colOff>390826</xdr:colOff>
      <xdr:row>28</xdr:row>
      <xdr:rowOff>130629</xdr:rowOff>
    </xdr:to>
    <xdr:sp macro="" textlink="">
      <xdr:nvSpPr>
        <xdr:cNvPr id="9" name="Rectangle: Rounded Corners 8">
          <a:extLst>
            <a:ext uri="{FF2B5EF4-FFF2-40B4-BE49-F238E27FC236}">
              <a16:creationId xmlns:a16="http://schemas.microsoft.com/office/drawing/2014/main" id="{1BA97897-1751-1BB6-05AE-16C173FDDA9A}"/>
            </a:ext>
          </a:extLst>
        </xdr:cNvPr>
        <xdr:cNvSpPr/>
      </xdr:nvSpPr>
      <xdr:spPr>
        <a:xfrm>
          <a:off x="30810728" y="2746830"/>
          <a:ext cx="7462383" cy="2463799"/>
        </a:xfrm>
        <a:prstGeom prst="roundRect">
          <a:avLst>
            <a:gd name="adj" fmla="val 4720"/>
          </a:avLst>
        </a:prstGeom>
        <a:solidFill>
          <a:schemeClr val="accent1">
            <a:lumMod val="50000"/>
          </a:schemeClr>
        </a:solidFill>
        <a:ln>
          <a:noFill/>
        </a:ln>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ctr"/>
          <a:r>
            <a:rPr lang="en-US" sz="1100" b="1">
              <a:solidFill>
                <a:schemeClr val="bg1"/>
              </a:solidFill>
            </a:rPr>
            <a:t>POTENTIAL</a:t>
          </a:r>
          <a:r>
            <a:rPr lang="en-US" sz="1100" b="1" baseline="0">
              <a:solidFill>
                <a:schemeClr val="bg1"/>
              </a:solidFill>
            </a:rPr>
            <a:t> CITATIONS</a:t>
          </a:r>
          <a:endParaRPr lang="en-US" sz="1100" b="1">
            <a:solidFill>
              <a:schemeClr val="bg1"/>
            </a:solidFill>
          </a:endParaRPr>
        </a:p>
        <a:p>
          <a:r>
            <a:rPr lang="en-US" b="1"/>
            <a:t>Sales by Product Category</a:t>
          </a:r>
        </a:p>
        <a:p>
          <a:r>
            <a:rPr lang="en-US" b="1"/>
            <a:t>Objective</a:t>
          </a:r>
          <a:br>
            <a:rPr lang="en-US"/>
          </a:br>
          <a:r>
            <a:rPr lang="en-US"/>
            <a:t>To evaluate revenue performance across product categories.</a:t>
          </a:r>
        </a:p>
        <a:p>
          <a:r>
            <a:rPr lang="en-US" b="1"/>
            <a:t>Analytical Approach</a:t>
          </a:r>
          <a:endParaRPr lang="en-US"/>
        </a:p>
        <a:p>
          <a:r>
            <a:rPr lang="en-US"/>
            <a:t>Analyze </a:t>
          </a:r>
          <a:r>
            <a:rPr lang="en-US" b="1"/>
            <a:t>Product Category</a:t>
          </a:r>
          <a:r>
            <a:rPr lang="en-US"/>
            <a:t> against </a:t>
          </a:r>
          <a:r>
            <a:rPr lang="en-US" b="1"/>
            <a:t>Revenue</a:t>
          </a:r>
          <a:endParaRPr lang="en-US"/>
        </a:p>
        <a:p>
          <a:r>
            <a:rPr lang="en-US" b="1"/>
            <a:t>Key Business Insight</a:t>
          </a:r>
          <a:br>
            <a:rPr lang="en-US"/>
          </a:br>
          <a:r>
            <a:rPr lang="en-US"/>
            <a:t>This analysis will identify </a:t>
          </a:r>
          <a:r>
            <a:rPr lang="en-US" b="1"/>
            <a:t>product categories generating the highest and lowest revenue</a:t>
          </a:r>
          <a:r>
            <a:rPr lang="en-US"/>
            <a:t>, allowing for performance comparison across the product portfolio.</a:t>
          </a:r>
        </a:p>
        <a:p>
          <a:r>
            <a:rPr lang="en-US" b="1"/>
            <a:t>Business Value</a:t>
          </a:r>
          <a:endParaRPr lang="en-US"/>
        </a:p>
        <a:p>
          <a:r>
            <a:rPr lang="en-US"/>
            <a:t>Informs product focus and portfolio optimization</a:t>
          </a:r>
        </a:p>
        <a:p>
          <a:r>
            <a:rPr lang="en-US"/>
            <a:t>Supports inventory and pricing decisions</a:t>
          </a:r>
        </a:p>
        <a:p>
          <a:r>
            <a:rPr lang="en-US"/>
            <a:t>Enables targeted marketing and promotional strategies</a:t>
          </a:r>
        </a:p>
        <a:p>
          <a:endParaRPr lang="en-US" sz="1100" baseline="0">
            <a:solidFill>
              <a:schemeClr val="bg1"/>
            </a:solidFill>
          </a:endParaRPr>
        </a:p>
      </xdr:txBody>
    </xdr:sp>
    <xdr:clientData/>
  </xdr:twoCellAnchor>
  <xdr:twoCellAnchor>
    <xdr:from>
      <xdr:col>46</xdr:col>
      <xdr:colOff>621013</xdr:colOff>
      <xdr:row>1</xdr:row>
      <xdr:rowOff>25401</xdr:rowOff>
    </xdr:from>
    <xdr:to>
      <xdr:col>58</xdr:col>
      <xdr:colOff>245683</xdr:colOff>
      <xdr:row>14</xdr:row>
      <xdr:rowOff>88900</xdr:rowOff>
    </xdr:to>
    <xdr:sp macro="" textlink="">
      <xdr:nvSpPr>
        <xdr:cNvPr id="10" name="Rectangle: Rounded Corners 9">
          <a:extLst>
            <a:ext uri="{FF2B5EF4-FFF2-40B4-BE49-F238E27FC236}">
              <a16:creationId xmlns:a16="http://schemas.microsoft.com/office/drawing/2014/main" id="{573F1F5B-FF7D-7FBF-8DE5-B8020456F026}"/>
            </a:ext>
          </a:extLst>
        </xdr:cNvPr>
        <xdr:cNvSpPr/>
      </xdr:nvSpPr>
      <xdr:spPr>
        <a:xfrm>
          <a:off x="30665585" y="206829"/>
          <a:ext cx="7462383" cy="2422071"/>
        </a:xfrm>
        <a:prstGeom prst="roundRect">
          <a:avLst>
            <a:gd name="adj" fmla="val 4720"/>
          </a:avLst>
        </a:prstGeom>
        <a:solidFill>
          <a:schemeClr val="accent1">
            <a:lumMod val="50000"/>
          </a:schemeClr>
        </a:solidFill>
        <a:ln>
          <a:noFill/>
        </a:ln>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ctr"/>
          <a:r>
            <a:rPr lang="en-US" sz="1100" b="1">
              <a:solidFill>
                <a:schemeClr val="bg1"/>
              </a:solidFill>
            </a:rPr>
            <a:t>POTENTIAL</a:t>
          </a:r>
          <a:r>
            <a:rPr lang="en-US" sz="1100" b="1" baseline="0">
              <a:solidFill>
                <a:schemeClr val="bg1"/>
              </a:solidFill>
            </a:rPr>
            <a:t> CITATIONS</a:t>
          </a:r>
          <a:endParaRPr lang="en-US" sz="1100" b="1">
            <a:solidFill>
              <a:schemeClr val="bg1"/>
            </a:solidFill>
          </a:endParaRPr>
        </a:p>
        <a:p>
          <a:r>
            <a:rPr lang="en-US" b="1"/>
            <a:t>Sales by Region</a:t>
          </a:r>
        </a:p>
        <a:p>
          <a:r>
            <a:rPr lang="en-US" b="1"/>
            <a:t>Objective</a:t>
          </a:r>
          <a:br>
            <a:rPr lang="en-US"/>
          </a:br>
          <a:r>
            <a:rPr lang="en-US"/>
            <a:t>To assess sales performance across different geographical regions.</a:t>
          </a:r>
        </a:p>
        <a:p>
          <a:r>
            <a:rPr lang="en-US" b="1"/>
            <a:t>Analytical Approach</a:t>
          </a:r>
          <a:endParaRPr lang="en-US"/>
        </a:p>
        <a:p>
          <a:r>
            <a:rPr lang="en-US"/>
            <a:t>Analyze </a:t>
          </a:r>
          <a:r>
            <a:rPr lang="en-US" b="1"/>
            <a:t>Region</a:t>
          </a:r>
          <a:r>
            <a:rPr lang="en-US"/>
            <a:t> against </a:t>
          </a:r>
          <a:r>
            <a:rPr lang="en-US" b="1"/>
            <a:t>Revenue</a:t>
          </a:r>
          <a:endParaRPr lang="en-US"/>
        </a:p>
        <a:p>
          <a:r>
            <a:rPr lang="en-US" b="1"/>
            <a:t>Key Business Insight</a:t>
          </a:r>
          <a:br>
            <a:rPr lang="en-US"/>
          </a:br>
          <a:r>
            <a:rPr lang="en-US"/>
            <a:t>This analysis will highlight </a:t>
          </a:r>
          <a:r>
            <a:rPr lang="en-US" b="1"/>
            <a:t>high-performing and underperforming regions</a:t>
          </a:r>
          <a:r>
            <a:rPr lang="en-US"/>
            <a:t>, enabling a clear comparison of regional sales outcomes.</a:t>
          </a:r>
        </a:p>
        <a:p>
          <a:r>
            <a:rPr lang="en-US" b="1"/>
            <a:t>Business Value</a:t>
          </a:r>
          <a:endParaRPr lang="en-US"/>
        </a:p>
        <a:p>
          <a:r>
            <a:rPr lang="en-US"/>
            <a:t>Supports regional resource allocation</a:t>
          </a:r>
        </a:p>
        <a:p>
          <a:r>
            <a:rPr lang="en-US"/>
            <a:t>Guides market expansion and regional marketing strategies</a:t>
          </a:r>
        </a:p>
        <a:p>
          <a:r>
            <a:rPr lang="en-US"/>
            <a:t>Identifies areas requiring targeted sales interventions</a:t>
          </a:r>
        </a:p>
        <a:p>
          <a:endParaRPr lang="en-US" sz="1100" baseline="0">
            <a:solidFill>
              <a:schemeClr val="bg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63498</xdr:colOff>
      <xdr:row>2</xdr:row>
      <xdr:rowOff>169334</xdr:rowOff>
    </xdr:from>
    <xdr:to>
      <xdr:col>10</xdr:col>
      <xdr:colOff>243416</xdr:colOff>
      <xdr:row>46</xdr:row>
      <xdr:rowOff>31749</xdr:rowOff>
    </xdr:to>
    <xdr:sp macro="" textlink="">
      <xdr:nvSpPr>
        <xdr:cNvPr id="2" name="Rectangle: Rounded Corners 1">
          <a:extLst>
            <a:ext uri="{FF2B5EF4-FFF2-40B4-BE49-F238E27FC236}">
              <a16:creationId xmlns:a16="http://schemas.microsoft.com/office/drawing/2014/main" id="{967C05CC-470E-46E8-8BC9-43CA7C3ABEF9}"/>
            </a:ext>
          </a:extLst>
        </xdr:cNvPr>
        <xdr:cNvSpPr/>
      </xdr:nvSpPr>
      <xdr:spPr>
        <a:xfrm>
          <a:off x="63498" y="529167"/>
          <a:ext cx="6318251" cy="7778749"/>
        </a:xfrm>
        <a:prstGeom prst="roundRect">
          <a:avLst>
            <a:gd name="adj" fmla="val 4720"/>
          </a:avLst>
        </a:prstGeom>
        <a:solidFill>
          <a:schemeClr val="accent1">
            <a:lumMod val="50000"/>
          </a:schemeClr>
        </a:solidFill>
        <a:ln>
          <a:noFill/>
        </a:ln>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ctr"/>
          <a:r>
            <a:rPr lang="en-US" sz="1100" b="1" baseline="0">
              <a:solidFill>
                <a:schemeClr val="bg1"/>
              </a:solidFill>
            </a:rPr>
            <a:t>IN ANALYSIS OBSERVATIONS</a:t>
          </a:r>
          <a:endParaRPr lang="en-US" sz="1100" b="1">
            <a:solidFill>
              <a:schemeClr val="bg1"/>
            </a:solidFill>
          </a:endParaRPr>
        </a:p>
        <a:p>
          <a:r>
            <a:rPr lang="en-US" b="1"/>
            <a:t>Q1. Sales Trend Report</a:t>
          </a:r>
        </a:p>
        <a:p>
          <a:r>
            <a:rPr lang="en-US" sz="1100" b="0" baseline="0">
              <a:solidFill>
                <a:schemeClr val="bg1"/>
              </a:solidFill>
            </a:rPr>
            <a:t>- December has the highest sales at </a:t>
          </a:r>
          <a:r>
            <a:rPr lang="en-US" sz="1100" b="1" i="0" u="none" strike="noStrike">
              <a:solidFill>
                <a:schemeClr val="lt1"/>
              </a:solidFill>
              <a:effectLst/>
              <a:latin typeface="+mn-lt"/>
              <a:ea typeface="+mn-ea"/>
              <a:cs typeface="+mn-cs"/>
            </a:rPr>
            <a:t>$66,642.78</a:t>
          </a:r>
          <a:endParaRPr lang="en-US">
            <a:effectLst/>
          </a:endParaRPr>
        </a:p>
        <a:p>
          <a:r>
            <a:rPr lang="en-US" b="0">
              <a:effectLst/>
            </a:rPr>
            <a:t>- February has the least</a:t>
          </a:r>
          <a:r>
            <a:rPr lang="en-US" b="0" baseline="0">
              <a:effectLst/>
            </a:rPr>
            <a:t> sales at </a:t>
          </a:r>
          <a:r>
            <a:rPr lang="en-US" sz="1100" b="1" i="0" u="none" strike="noStrike">
              <a:solidFill>
                <a:schemeClr val="lt1"/>
              </a:solidFill>
              <a:effectLst/>
              <a:latin typeface="+mn-lt"/>
              <a:ea typeface="+mn-ea"/>
              <a:cs typeface="+mn-cs"/>
            </a:rPr>
            <a:t>$19,985.50</a:t>
          </a:r>
          <a:r>
            <a:rPr lang="en-US">
              <a:effectLst/>
            </a:rPr>
            <a:t> </a:t>
          </a:r>
        </a:p>
        <a:p>
          <a:endParaRPr lang="en-US" b="0">
            <a:effectLst/>
          </a:endParaRPr>
        </a:p>
        <a:p>
          <a:r>
            <a:rPr lang="en-US" b="1">
              <a:effectLst/>
            </a:rPr>
            <a:t>Q2. Top</a:t>
          </a:r>
          <a:r>
            <a:rPr lang="en-US" b="1" baseline="0">
              <a:effectLst/>
            </a:rPr>
            <a:t> 10 customers</a:t>
          </a:r>
        </a:p>
        <a:p>
          <a:r>
            <a:rPr lang="en-US" b="1" baseline="0">
              <a:effectLst/>
            </a:rPr>
            <a:t>- </a:t>
          </a:r>
          <a:r>
            <a:rPr lang="en-US" b="0" baseline="0">
              <a:effectLst/>
            </a:rPr>
            <a:t>Company D was the highest performing customer with revenue of </a:t>
          </a:r>
          <a:r>
            <a:rPr lang="en-US" sz="1100" b="1" i="0" u="none" strike="noStrike">
              <a:solidFill>
                <a:schemeClr val="lt1"/>
              </a:solidFill>
              <a:effectLst/>
              <a:latin typeface="+mn-lt"/>
              <a:ea typeface="+mn-ea"/>
              <a:cs typeface="+mn-cs"/>
            </a:rPr>
            <a:t>$67,180.50</a:t>
          </a:r>
        </a:p>
        <a:p>
          <a:r>
            <a:rPr lang="en-US" sz="1100" b="0" i="0" u="none" strike="noStrike">
              <a:solidFill>
                <a:schemeClr val="lt1"/>
              </a:solidFill>
              <a:effectLst/>
              <a:latin typeface="+mn-lt"/>
              <a:ea typeface="+mn-ea"/>
              <a:cs typeface="+mn-cs"/>
            </a:rPr>
            <a:t>-</a:t>
          </a:r>
          <a:r>
            <a:rPr lang="en-US" sz="1100" b="0" i="0" u="none" strike="noStrike" baseline="0">
              <a:solidFill>
                <a:schemeClr val="lt1"/>
              </a:solidFill>
              <a:effectLst/>
              <a:latin typeface="+mn-lt"/>
              <a:ea typeface="+mn-ea"/>
              <a:cs typeface="+mn-cs"/>
            </a:rPr>
            <a:t> Company K was the tenth performing and also the last on the Top 10 ranking with a revenue of </a:t>
          </a:r>
          <a:r>
            <a:rPr lang="en-US" sz="1100" b="1" i="0" u="none" strike="noStrike">
              <a:solidFill>
                <a:schemeClr val="lt1"/>
              </a:solidFill>
              <a:effectLst/>
              <a:latin typeface="+mn-lt"/>
              <a:ea typeface="+mn-ea"/>
              <a:cs typeface="+mn-cs"/>
            </a:rPr>
            <a:t>$21,937.08</a:t>
          </a:r>
          <a:r>
            <a:rPr lang="en-US" b="1">
              <a:effectLst/>
            </a:rPr>
            <a:t> </a:t>
          </a:r>
        </a:p>
        <a:p>
          <a:endParaRPr lang="en-US" b="1">
            <a:effectLst/>
          </a:endParaRPr>
        </a:p>
        <a:p>
          <a:r>
            <a:rPr lang="en-US" b="1">
              <a:effectLst/>
            </a:rPr>
            <a:t>Q3. </a:t>
          </a:r>
          <a:r>
            <a:rPr lang="en-US" sz="1100" b="1">
              <a:solidFill>
                <a:schemeClr val="lt1"/>
              </a:solidFill>
              <a:effectLst/>
              <a:latin typeface="+mn-lt"/>
              <a:ea typeface="+mn-ea"/>
              <a:cs typeface="+mn-cs"/>
            </a:rPr>
            <a:t>Sales by Rep </a:t>
          </a:r>
        </a:p>
        <a:p>
          <a:r>
            <a:rPr lang="en-US" sz="1100" b="1">
              <a:solidFill>
                <a:schemeClr val="lt1"/>
              </a:solidFill>
              <a:effectLst/>
              <a:latin typeface="+mn-lt"/>
              <a:ea typeface="+mn-ea"/>
              <a:cs typeface="+mn-cs"/>
            </a:rPr>
            <a:t>- </a:t>
          </a:r>
          <a:r>
            <a:rPr lang="en-US" sz="1100" b="0" i="0" u="none" strike="noStrike">
              <a:solidFill>
                <a:schemeClr val="lt1"/>
              </a:solidFill>
              <a:effectLst/>
              <a:latin typeface="+mn-lt"/>
              <a:ea typeface="+mn-ea"/>
              <a:cs typeface="+mn-cs"/>
            </a:rPr>
            <a:t>Nancy Freehafer</a:t>
          </a:r>
          <a:r>
            <a:rPr lang="en-US">
              <a:effectLst/>
            </a:rPr>
            <a:t> is</a:t>
          </a:r>
          <a:r>
            <a:rPr lang="en-US" baseline="0">
              <a:effectLst/>
            </a:rPr>
            <a:t> the salesperson with the most sales at </a:t>
          </a:r>
          <a:r>
            <a:rPr lang="en-US" sz="1100" b="1" i="0" u="none" strike="noStrike">
              <a:solidFill>
                <a:schemeClr val="lt1"/>
              </a:solidFill>
              <a:effectLst/>
              <a:latin typeface="+mn-lt"/>
              <a:ea typeface="+mn-ea"/>
              <a:cs typeface="+mn-cs"/>
            </a:rPr>
            <a:t>$104,252.34</a:t>
          </a:r>
        </a:p>
        <a:p>
          <a:r>
            <a:rPr lang="en-US" sz="1100" b="1" i="0" u="none" strike="noStrike">
              <a:solidFill>
                <a:schemeClr val="lt1"/>
              </a:solidFill>
              <a:effectLst/>
              <a:latin typeface="+mn-lt"/>
              <a:ea typeface="+mn-ea"/>
              <a:cs typeface="+mn-cs"/>
            </a:rPr>
            <a:t>-</a:t>
          </a:r>
          <a:r>
            <a:rPr lang="en-US" sz="1100" b="1" i="0" u="none" strike="noStrike" baseline="0">
              <a:solidFill>
                <a:schemeClr val="lt1"/>
              </a:solidFill>
              <a:effectLst/>
              <a:latin typeface="+mn-lt"/>
              <a:ea typeface="+mn-ea"/>
              <a:cs typeface="+mn-cs"/>
            </a:rPr>
            <a:t> </a:t>
          </a:r>
          <a:r>
            <a:rPr lang="en-US" sz="1100" b="0" i="0" u="none" strike="noStrike">
              <a:solidFill>
                <a:schemeClr val="lt1"/>
              </a:solidFill>
              <a:effectLst/>
              <a:latin typeface="+mn-lt"/>
              <a:ea typeface="+mn-ea"/>
              <a:cs typeface="+mn-cs"/>
            </a:rPr>
            <a:t>Jan Kotas</a:t>
          </a:r>
          <a:r>
            <a:rPr lang="en-US">
              <a:effectLst/>
            </a:rPr>
            <a:t> is the salesperson</a:t>
          </a:r>
          <a:r>
            <a:rPr lang="en-US" baseline="0">
              <a:effectLst/>
            </a:rPr>
            <a:t> with the least sales at </a:t>
          </a:r>
          <a:r>
            <a:rPr lang="en-US" sz="1100" b="1" i="0" u="none" strike="noStrike">
              <a:solidFill>
                <a:schemeClr val="lt1"/>
              </a:solidFill>
              <a:effectLst/>
              <a:latin typeface="+mn-lt"/>
              <a:ea typeface="+mn-ea"/>
              <a:cs typeface="+mn-cs"/>
            </a:rPr>
            <a:t>$16,350.50</a:t>
          </a:r>
          <a:r>
            <a:rPr lang="en-US" b="1">
              <a:effectLst/>
            </a:rPr>
            <a:t> </a:t>
          </a:r>
          <a:endParaRPr lang="en-US" sz="1100" b="0" i="0" u="none" strike="noStrike">
            <a:solidFill>
              <a:schemeClr val="lt1"/>
            </a:solidFill>
            <a:effectLst/>
            <a:latin typeface="+mn-lt"/>
            <a:ea typeface="+mn-ea"/>
            <a:cs typeface="+mn-cs"/>
          </a:endParaRPr>
        </a:p>
        <a:p>
          <a:endParaRPr lang="en-US" sz="1100" b="0" i="0" u="none" strike="noStrike">
            <a:solidFill>
              <a:schemeClr val="lt1"/>
            </a:solidFill>
            <a:effectLst/>
            <a:latin typeface="+mn-lt"/>
            <a:ea typeface="+mn-ea"/>
            <a:cs typeface="+mn-cs"/>
          </a:endParaRPr>
        </a:p>
        <a:p>
          <a:r>
            <a:rPr lang="en-US" sz="1100" b="1" i="0" u="none" strike="noStrike">
              <a:solidFill>
                <a:schemeClr val="lt1"/>
              </a:solidFill>
              <a:effectLst/>
              <a:latin typeface="+mn-lt"/>
              <a:ea typeface="+mn-ea"/>
              <a:cs typeface="+mn-cs"/>
            </a:rPr>
            <a:t>Q4.</a:t>
          </a:r>
          <a:r>
            <a:rPr lang="en-US" sz="1100" b="1" i="0" u="none" strike="noStrike" baseline="0">
              <a:solidFill>
                <a:schemeClr val="lt1"/>
              </a:solidFill>
              <a:effectLst/>
              <a:latin typeface="+mn-lt"/>
              <a:ea typeface="+mn-ea"/>
              <a:cs typeface="+mn-cs"/>
            </a:rPr>
            <a:t> Sales by Region</a:t>
          </a:r>
        </a:p>
        <a:p>
          <a:r>
            <a:rPr lang="en-US" sz="1100" b="0" i="0" u="none" strike="noStrike" baseline="0">
              <a:solidFill>
                <a:schemeClr val="lt1"/>
              </a:solidFill>
              <a:effectLst/>
              <a:latin typeface="+mn-lt"/>
              <a:ea typeface="+mn-ea"/>
              <a:cs typeface="+mn-cs"/>
            </a:rPr>
            <a:t>- Northern region did the best in sales with a percentage of </a:t>
          </a:r>
          <a:r>
            <a:rPr lang="en-US" sz="1100" b="1" i="0" u="none" strike="noStrike">
              <a:solidFill>
                <a:schemeClr val="lt1"/>
              </a:solidFill>
              <a:effectLst/>
              <a:latin typeface="+mn-lt"/>
              <a:ea typeface="+mn-ea"/>
              <a:cs typeface="+mn-cs"/>
            </a:rPr>
            <a:t>32.57%</a:t>
          </a:r>
          <a:r>
            <a:rPr lang="en-US" b="1">
              <a:effectLst/>
            </a:rPr>
            <a:t> </a:t>
          </a:r>
          <a:endParaRPr lang="en-US" sz="1100" b="0" i="0" u="none" strike="noStrike">
            <a:solidFill>
              <a:schemeClr val="lt1"/>
            </a:solidFill>
            <a:effectLst/>
            <a:latin typeface="+mn-lt"/>
            <a:ea typeface="+mn-ea"/>
            <a:cs typeface="+mn-cs"/>
          </a:endParaRPr>
        </a:p>
        <a:p>
          <a:r>
            <a:rPr lang="en-US" sz="1100" b="0" i="0" u="none" strike="noStrike">
              <a:solidFill>
                <a:schemeClr val="lt1"/>
              </a:solidFill>
              <a:effectLst/>
              <a:latin typeface="+mn-lt"/>
              <a:ea typeface="+mn-ea"/>
              <a:cs typeface="+mn-cs"/>
            </a:rPr>
            <a:t>-</a:t>
          </a:r>
          <a:r>
            <a:rPr lang="en-US" sz="1100" b="0" i="0" u="none" strike="noStrike" baseline="0">
              <a:solidFill>
                <a:schemeClr val="lt1"/>
              </a:solidFill>
              <a:effectLst/>
              <a:latin typeface="+mn-lt"/>
              <a:ea typeface="+mn-ea"/>
              <a:cs typeface="+mn-cs"/>
            </a:rPr>
            <a:t> Western region did the least sales amongst the 4 regions with a percentage of </a:t>
          </a:r>
          <a:r>
            <a:rPr lang="en-US" sz="1100" b="1" i="0" u="none" strike="noStrike">
              <a:solidFill>
                <a:schemeClr val="lt1"/>
              </a:solidFill>
              <a:effectLst/>
              <a:latin typeface="+mn-lt"/>
              <a:ea typeface="+mn-ea"/>
              <a:cs typeface="+mn-cs"/>
            </a:rPr>
            <a:t>20.97%</a:t>
          </a:r>
          <a:r>
            <a:rPr lang="en-US" b="1">
              <a:effectLst/>
            </a:rPr>
            <a:t> </a:t>
          </a:r>
          <a:endParaRPr lang="en-US" sz="1100" b="0" i="0" u="none" strike="noStrike">
            <a:solidFill>
              <a:schemeClr val="lt1"/>
            </a:solidFill>
            <a:effectLst/>
            <a:latin typeface="+mn-lt"/>
            <a:ea typeface="+mn-ea"/>
            <a:cs typeface="+mn-cs"/>
          </a:endParaRPr>
        </a:p>
        <a:p>
          <a:endParaRPr lang="en-US" sz="1100" b="0" i="0" u="none" strike="noStrike">
            <a:solidFill>
              <a:schemeClr val="lt1"/>
            </a:solidFill>
            <a:effectLst/>
            <a:latin typeface="+mn-lt"/>
            <a:ea typeface="+mn-ea"/>
            <a:cs typeface="+mn-cs"/>
          </a:endParaRPr>
        </a:p>
        <a:p>
          <a:r>
            <a:rPr lang="en-US" sz="1100" b="1">
              <a:solidFill>
                <a:schemeClr val="lt1"/>
              </a:solidFill>
              <a:effectLst/>
              <a:latin typeface="+mn-lt"/>
              <a:ea typeface="+mn-ea"/>
              <a:cs typeface="+mn-cs"/>
            </a:rPr>
            <a:t>Q5. Sales by Product</a:t>
          </a:r>
          <a:r>
            <a:rPr lang="en-US" sz="1100" b="1" baseline="0">
              <a:solidFill>
                <a:schemeClr val="lt1"/>
              </a:solidFill>
              <a:effectLst/>
              <a:latin typeface="+mn-lt"/>
              <a:ea typeface="+mn-ea"/>
              <a:cs typeface="+mn-cs"/>
            </a:rPr>
            <a:t> Category</a:t>
          </a:r>
          <a:endParaRPr lang="en-US">
            <a:effectLst/>
          </a:endParaRPr>
        </a:p>
        <a:p>
          <a:r>
            <a:rPr lang="en-US" sz="1100" b="1">
              <a:solidFill>
                <a:schemeClr val="lt1"/>
              </a:solidFill>
              <a:effectLst/>
              <a:latin typeface="+mn-lt"/>
              <a:ea typeface="+mn-ea"/>
              <a:cs typeface="+mn-cs"/>
            </a:rPr>
            <a:t>- The </a:t>
          </a:r>
          <a:r>
            <a:rPr lang="en-US" sz="1100" b="0" i="0">
              <a:solidFill>
                <a:schemeClr val="lt1"/>
              </a:solidFill>
              <a:effectLst/>
              <a:latin typeface="+mn-lt"/>
              <a:ea typeface="+mn-ea"/>
              <a:cs typeface="+mn-cs"/>
            </a:rPr>
            <a:t>Beverages category</a:t>
          </a:r>
          <a:r>
            <a:rPr lang="en-US" sz="1100" b="0" i="0" baseline="0">
              <a:solidFill>
                <a:schemeClr val="lt1"/>
              </a:solidFill>
              <a:effectLst/>
              <a:latin typeface="+mn-lt"/>
              <a:ea typeface="+mn-ea"/>
              <a:cs typeface="+mn-cs"/>
            </a:rPr>
            <a:t> did the best sales at a sum of </a:t>
          </a:r>
          <a:r>
            <a:rPr lang="en-US" sz="1100" b="1" i="0" u="none" strike="noStrike">
              <a:solidFill>
                <a:schemeClr val="lt1"/>
              </a:solidFill>
              <a:effectLst/>
              <a:latin typeface="+mn-lt"/>
              <a:ea typeface="+mn-ea"/>
              <a:cs typeface="+mn-cs"/>
            </a:rPr>
            <a:t>$110,577.11</a:t>
          </a:r>
          <a:r>
            <a:rPr lang="en-US" b="1">
              <a:effectLst/>
            </a:rPr>
            <a:t> </a:t>
          </a:r>
        </a:p>
        <a:p>
          <a:r>
            <a:rPr lang="en-US" sz="1100" b="1" i="0">
              <a:solidFill>
                <a:schemeClr val="lt1"/>
              </a:solidFill>
              <a:effectLst/>
              <a:latin typeface="+mn-lt"/>
              <a:ea typeface="+mn-ea"/>
              <a:cs typeface="+mn-cs"/>
            </a:rPr>
            <a:t>-</a:t>
          </a:r>
          <a:r>
            <a:rPr lang="en-US" sz="1100" b="1" i="0" baseline="0">
              <a:solidFill>
                <a:schemeClr val="lt1"/>
              </a:solidFill>
              <a:effectLst/>
              <a:latin typeface="+mn-lt"/>
              <a:ea typeface="+mn-ea"/>
              <a:cs typeface="+mn-cs"/>
            </a:rPr>
            <a:t> </a:t>
          </a:r>
          <a:r>
            <a:rPr lang="en-US" sz="1100" b="0" i="0">
              <a:solidFill>
                <a:schemeClr val="lt1"/>
              </a:solidFill>
              <a:effectLst/>
              <a:latin typeface="+mn-lt"/>
              <a:ea typeface="+mn-ea"/>
              <a:cs typeface="+mn-cs"/>
            </a:rPr>
            <a:t>The Grains category did</a:t>
          </a:r>
          <a:r>
            <a:rPr lang="en-US" sz="1100" b="0" i="0" baseline="0">
              <a:solidFill>
                <a:schemeClr val="lt1"/>
              </a:solidFill>
              <a:effectLst/>
              <a:latin typeface="+mn-lt"/>
              <a:ea typeface="+mn-ea"/>
              <a:cs typeface="+mn-cs"/>
            </a:rPr>
            <a:t> the least sales at a sum of </a:t>
          </a:r>
          <a:r>
            <a:rPr lang="en-US" sz="1100" b="1" i="0" u="none" strike="noStrike">
              <a:solidFill>
                <a:schemeClr val="lt1"/>
              </a:solidFill>
              <a:effectLst/>
              <a:latin typeface="+mn-lt"/>
              <a:ea typeface="+mn-ea"/>
              <a:cs typeface="+mn-cs"/>
            </a:rPr>
            <a:t>$2,884.00</a:t>
          </a:r>
          <a:r>
            <a:rPr lang="en-US" b="1">
              <a:effectLst/>
            </a:rPr>
            <a:t> </a:t>
          </a:r>
          <a:endParaRPr lang="en-US" sz="1100" b="0" i="0" u="none" strike="noStrike">
            <a:solidFill>
              <a:schemeClr val="lt1"/>
            </a:solidFill>
            <a:effectLst/>
            <a:latin typeface="+mn-lt"/>
            <a:ea typeface="+mn-ea"/>
            <a:cs typeface="+mn-cs"/>
          </a:endParaRPr>
        </a:p>
        <a:p>
          <a:r>
            <a:rPr lang="en-US" b="1">
              <a:effectLst/>
            </a:rPr>
            <a:t>-</a:t>
          </a:r>
          <a:r>
            <a:rPr lang="en-US" b="1" baseline="0">
              <a:effectLst/>
            </a:rPr>
            <a:t> </a:t>
          </a:r>
          <a:r>
            <a:rPr lang="en-US" b="0" baseline="0">
              <a:effectLst/>
            </a:rPr>
            <a:t>Shipping errors were found in the data with a sum of </a:t>
          </a:r>
          <a:r>
            <a:rPr lang="en-US" sz="1100" b="1" i="0" u="none" strike="noStrike">
              <a:solidFill>
                <a:schemeClr val="lt1"/>
              </a:solidFill>
              <a:effectLst/>
              <a:latin typeface="+mn-lt"/>
              <a:ea typeface="+mn-ea"/>
              <a:cs typeface="+mn-cs"/>
            </a:rPr>
            <a:t>$30.00</a:t>
          </a:r>
          <a:r>
            <a:rPr lang="en-US" b="1">
              <a:effectLst/>
            </a:rPr>
            <a:t> </a:t>
          </a:r>
        </a:p>
        <a:p>
          <a:endParaRPr lang="en-US" b="1">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lt1"/>
              </a:solidFill>
              <a:effectLst/>
              <a:latin typeface="+mn-lt"/>
              <a:ea typeface="+mn-ea"/>
              <a:cs typeface="+mn-cs"/>
            </a:rPr>
            <a:t>Q6. Top 6 ship cities by Revenue</a:t>
          </a: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lt1"/>
              </a:solidFill>
              <a:effectLst/>
              <a:latin typeface="+mn-lt"/>
              <a:ea typeface="+mn-ea"/>
              <a:cs typeface="+mn-cs"/>
            </a:rPr>
            <a:t>- </a:t>
          </a:r>
          <a:r>
            <a:rPr lang="en-US" sz="1100" b="0">
              <a:solidFill>
                <a:schemeClr val="lt1"/>
              </a:solidFill>
              <a:effectLst/>
              <a:latin typeface="+mn-lt"/>
              <a:ea typeface="+mn-ea"/>
              <a:cs typeface="+mn-cs"/>
            </a:rPr>
            <a:t>New</a:t>
          </a:r>
          <a:r>
            <a:rPr lang="en-US" sz="1100" b="0" baseline="0">
              <a:solidFill>
                <a:schemeClr val="lt1"/>
              </a:solidFill>
              <a:effectLst/>
              <a:latin typeface="+mn-lt"/>
              <a:ea typeface="+mn-ea"/>
              <a:cs typeface="+mn-cs"/>
            </a:rPr>
            <a:t> York ranked first as the ship citiy with the most revenue generated at </a:t>
          </a:r>
          <a:r>
            <a:rPr lang="en-US" sz="1100" b="1" i="0" u="none" strike="noStrike">
              <a:solidFill>
                <a:schemeClr val="lt1"/>
              </a:solidFill>
              <a:effectLst/>
              <a:latin typeface="+mn-lt"/>
              <a:ea typeface="+mn-ea"/>
              <a:cs typeface="+mn-cs"/>
            </a:rPr>
            <a:t>$67,180.50</a:t>
          </a:r>
          <a:r>
            <a:rPr lang="en-US" b="1">
              <a:effectLst/>
            </a:rPr>
            <a:t> </a:t>
          </a:r>
        </a:p>
        <a:p>
          <a:r>
            <a:rPr lang="en-US" sz="1100" b="0" i="0" u="none" strike="noStrike">
              <a:solidFill>
                <a:schemeClr val="lt1"/>
              </a:solidFill>
              <a:effectLst/>
              <a:latin typeface="+mn-lt"/>
              <a:ea typeface="+mn-ea"/>
              <a:cs typeface="+mn-cs"/>
            </a:rPr>
            <a:t>- </a:t>
          </a:r>
          <a:r>
            <a:rPr lang="en-US" b="1">
              <a:effectLst/>
            </a:rPr>
            <a:t>Milwaukee</a:t>
          </a:r>
          <a:r>
            <a:rPr lang="en-US" b="0" baseline="0">
              <a:effectLst/>
            </a:rPr>
            <a:t> ranked sixth among the ship cities with a revenue of </a:t>
          </a:r>
          <a:r>
            <a:rPr lang="en-US" b="1">
              <a:effectLst/>
            </a:rPr>
            <a:t>$37,428.00</a:t>
          </a:r>
        </a:p>
        <a:p>
          <a:endParaRPr lang="en-US" sz="1100" b="1" i="0" u="none" strike="noStrike">
            <a:solidFill>
              <a:schemeClr val="lt1"/>
            </a:solidFill>
            <a:effectLst/>
            <a:latin typeface="+mn-lt"/>
            <a:ea typeface="+mn-ea"/>
            <a:cs typeface="+mn-cs"/>
          </a:endParaRPr>
        </a:p>
        <a:p>
          <a:pPr eaLnBrk="1" fontAlgn="auto" latinLnBrk="0" hangingPunct="1"/>
          <a:r>
            <a:rPr lang="en-US" sz="1100" b="1">
              <a:solidFill>
                <a:schemeClr val="lt1"/>
              </a:solidFill>
              <a:effectLst/>
              <a:latin typeface="+mn-lt"/>
              <a:ea typeface="+mn-ea"/>
              <a:cs typeface="+mn-cs"/>
            </a:rPr>
            <a:t>Q7. Top 5 cities by Revenue</a:t>
          </a:r>
          <a:endParaRPr lang="en-US">
            <a:effectLst/>
          </a:endParaRPr>
        </a:p>
        <a:p>
          <a:pPr eaLnBrk="1" fontAlgn="auto" latinLnBrk="0" hangingPunct="1"/>
          <a:r>
            <a:rPr lang="en-US" sz="1100" b="1">
              <a:solidFill>
                <a:schemeClr val="lt1"/>
              </a:solidFill>
              <a:effectLst/>
              <a:latin typeface="+mn-lt"/>
              <a:ea typeface="+mn-ea"/>
              <a:cs typeface="+mn-cs"/>
            </a:rPr>
            <a:t>- </a:t>
          </a:r>
          <a:r>
            <a:rPr lang="en-US" sz="1100" b="0">
              <a:solidFill>
                <a:schemeClr val="lt1"/>
              </a:solidFill>
              <a:effectLst/>
              <a:latin typeface="+mn-lt"/>
              <a:ea typeface="+mn-ea"/>
              <a:cs typeface="+mn-cs"/>
            </a:rPr>
            <a:t>New</a:t>
          </a:r>
          <a:r>
            <a:rPr lang="en-US" sz="1100" b="0" baseline="0">
              <a:solidFill>
                <a:schemeClr val="lt1"/>
              </a:solidFill>
              <a:effectLst/>
              <a:latin typeface="+mn-lt"/>
              <a:ea typeface="+mn-ea"/>
              <a:cs typeface="+mn-cs"/>
            </a:rPr>
            <a:t> York ranked first as the city with the most revenue generated at </a:t>
          </a:r>
          <a:r>
            <a:rPr lang="en-US" sz="1100" b="1" i="0">
              <a:solidFill>
                <a:schemeClr val="lt1"/>
              </a:solidFill>
              <a:effectLst/>
              <a:latin typeface="+mn-lt"/>
              <a:ea typeface="+mn-ea"/>
              <a:cs typeface="+mn-cs"/>
            </a:rPr>
            <a:t>$67,180.50</a:t>
          </a:r>
          <a:r>
            <a:rPr lang="en-US" sz="1100" b="1">
              <a:solidFill>
                <a:schemeClr val="lt1"/>
              </a:solidFill>
              <a:effectLst/>
              <a:latin typeface="+mn-lt"/>
              <a:ea typeface="+mn-ea"/>
              <a:cs typeface="+mn-cs"/>
            </a:rPr>
            <a:t> </a:t>
          </a:r>
          <a:endParaRPr lang="en-US">
            <a:effectLst/>
          </a:endParaRPr>
        </a:p>
        <a:p>
          <a:pPr eaLnBrk="1" fontAlgn="auto" latinLnBrk="0" hangingPunct="1"/>
          <a:r>
            <a:rPr lang="en-US" sz="1100" b="0" i="0">
              <a:solidFill>
                <a:schemeClr val="lt1"/>
              </a:solidFill>
              <a:effectLst/>
              <a:latin typeface="+mn-lt"/>
              <a:ea typeface="+mn-ea"/>
              <a:cs typeface="+mn-cs"/>
            </a:rPr>
            <a:t>- </a:t>
          </a:r>
          <a:r>
            <a:rPr lang="en-US" sz="1100" b="1">
              <a:solidFill>
                <a:schemeClr val="lt1"/>
              </a:solidFill>
              <a:effectLst/>
              <a:latin typeface="+mn-lt"/>
              <a:ea typeface="+mn-ea"/>
              <a:cs typeface="+mn-cs"/>
            </a:rPr>
            <a:t>Chicago</a:t>
          </a:r>
          <a:r>
            <a:rPr lang="en-US" sz="1100" b="0" baseline="0">
              <a:solidFill>
                <a:schemeClr val="lt1"/>
              </a:solidFill>
              <a:effectLst/>
              <a:latin typeface="+mn-lt"/>
              <a:ea typeface="+mn-ea"/>
              <a:cs typeface="+mn-cs"/>
            </a:rPr>
            <a:t> ranked sixth among the ship cities with a revenue of</a:t>
          </a:r>
          <a:r>
            <a:rPr lang="en-US" sz="1100" b="1" baseline="0">
              <a:solidFill>
                <a:schemeClr val="lt1"/>
              </a:solidFill>
              <a:effectLst/>
              <a:latin typeface="+mn-lt"/>
              <a:ea typeface="+mn-ea"/>
              <a:cs typeface="+mn-cs"/>
            </a:rPr>
            <a:t> </a:t>
          </a:r>
          <a:r>
            <a:rPr lang="en-US" sz="1100" b="1" i="0" u="none" strike="noStrike">
              <a:solidFill>
                <a:schemeClr val="lt1"/>
              </a:solidFill>
              <a:effectLst/>
              <a:latin typeface="+mn-lt"/>
              <a:ea typeface="+mn-ea"/>
              <a:cs typeface="+mn-cs"/>
            </a:rPr>
            <a:t>$41,095.01</a:t>
          </a:r>
          <a:r>
            <a:rPr lang="en-US" b="1">
              <a:effectLst/>
            </a:rPr>
            <a:t> </a:t>
          </a:r>
          <a:br>
            <a:rPr lang="en-US" sz="1100" b="0" i="0" u="none" strike="noStrike">
              <a:solidFill>
                <a:schemeClr val="lt1"/>
              </a:solidFill>
              <a:effectLst/>
              <a:latin typeface="+mn-lt"/>
              <a:ea typeface="+mn-ea"/>
              <a:cs typeface="+mn-cs"/>
            </a:rPr>
          </a:br>
          <a:br>
            <a:rPr lang="en-US" sz="1100" b="0" i="0" u="none" strike="noStrike">
              <a:solidFill>
                <a:schemeClr val="lt1"/>
              </a:solidFill>
              <a:effectLst/>
              <a:latin typeface="+mn-lt"/>
              <a:ea typeface="+mn-ea"/>
              <a:cs typeface="+mn-cs"/>
            </a:rPr>
          </a:br>
          <a:r>
            <a:rPr lang="en-US" sz="1100" b="1">
              <a:solidFill>
                <a:schemeClr val="lt1"/>
              </a:solidFill>
              <a:effectLst/>
              <a:latin typeface="+mn-lt"/>
              <a:ea typeface="+mn-ea"/>
              <a:cs typeface="+mn-cs"/>
            </a:rPr>
            <a:t>Q8. State</a:t>
          </a:r>
          <a:r>
            <a:rPr lang="en-US" sz="1100" b="1" baseline="0">
              <a:solidFill>
                <a:schemeClr val="lt1"/>
              </a:solidFill>
              <a:effectLst/>
              <a:latin typeface="+mn-lt"/>
              <a:ea typeface="+mn-ea"/>
              <a:cs typeface="+mn-cs"/>
            </a:rPr>
            <a:t> Performance</a:t>
          </a:r>
          <a:endParaRPr lang="en-US">
            <a:effectLst/>
          </a:endParaRPr>
        </a:p>
        <a:p>
          <a:pPr eaLnBrk="1" fontAlgn="auto" latinLnBrk="0" hangingPunct="1"/>
          <a:r>
            <a:rPr lang="en-US" sz="1100" b="1">
              <a:solidFill>
                <a:schemeClr val="lt1"/>
              </a:solidFill>
              <a:effectLst/>
              <a:latin typeface="+mn-lt"/>
              <a:ea typeface="+mn-ea"/>
              <a:cs typeface="+mn-cs"/>
            </a:rPr>
            <a:t>- </a:t>
          </a:r>
          <a:r>
            <a:rPr lang="en-US" sz="1100" b="0">
              <a:solidFill>
                <a:schemeClr val="lt1"/>
              </a:solidFill>
              <a:effectLst/>
              <a:latin typeface="+mn-lt"/>
              <a:ea typeface="+mn-ea"/>
              <a:cs typeface="+mn-cs"/>
            </a:rPr>
            <a:t>New</a:t>
          </a:r>
          <a:r>
            <a:rPr lang="en-US" sz="1100" b="0" baseline="0">
              <a:solidFill>
                <a:schemeClr val="lt1"/>
              </a:solidFill>
              <a:effectLst/>
              <a:latin typeface="+mn-lt"/>
              <a:ea typeface="+mn-ea"/>
              <a:cs typeface="+mn-cs"/>
            </a:rPr>
            <a:t> York performed the best and generated a  revenue of </a:t>
          </a:r>
          <a:r>
            <a:rPr lang="en-US" sz="1100" b="1" i="0">
              <a:solidFill>
                <a:schemeClr val="lt1"/>
              </a:solidFill>
              <a:effectLst/>
              <a:latin typeface="+mn-lt"/>
              <a:ea typeface="+mn-ea"/>
              <a:cs typeface="+mn-cs"/>
            </a:rPr>
            <a:t>$67,180.50</a:t>
          </a:r>
          <a:r>
            <a:rPr lang="en-US" sz="1100" b="1">
              <a:solidFill>
                <a:schemeClr val="lt1"/>
              </a:solidFill>
              <a:effectLst/>
              <a:latin typeface="+mn-lt"/>
              <a:ea typeface="+mn-ea"/>
              <a:cs typeface="+mn-cs"/>
            </a:rPr>
            <a:t> </a:t>
          </a:r>
          <a:endParaRPr lang="en-US">
            <a:effectLst/>
          </a:endParaRPr>
        </a:p>
        <a:p>
          <a:r>
            <a:rPr lang="en-US" sz="1100" b="0" i="0">
              <a:solidFill>
                <a:schemeClr val="lt1"/>
              </a:solidFill>
              <a:effectLst/>
              <a:latin typeface="+mn-lt"/>
              <a:ea typeface="+mn-ea"/>
              <a:cs typeface="+mn-cs"/>
            </a:rPr>
            <a:t>- </a:t>
          </a:r>
          <a:r>
            <a:rPr lang="en-US" sz="1100" b="1">
              <a:solidFill>
                <a:schemeClr val="lt1"/>
              </a:solidFill>
              <a:effectLst/>
              <a:latin typeface="+mn-lt"/>
              <a:ea typeface="+mn-ea"/>
              <a:cs typeface="+mn-cs"/>
            </a:rPr>
            <a:t>Nevada</a:t>
          </a:r>
          <a:r>
            <a:rPr lang="en-US" sz="1100" b="0" baseline="0">
              <a:solidFill>
                <a:schemeClr val="lt1"/>
              </a:solidFill>
              <a:effectLst/>
              <a:latin typeface="+mn-lt"/>
              <a:ea typeface="+mn-ea"/>
              <a:cs typeface="+mn-cs"/>
            </a:rPr>
            <a:t> was the least performing state and generated a revenue of</a:t>
          </a:r>
          <a:r>
            <a:rPr lang="en-US" sz="1100" b="1" baseline="0">
              <a:solidFill>
                <a:schemeClr val="lt1"/>
              </a:solidFill>
              <a:effectLst/>
              <a:latin typeface="+mn-lt"/>
              <a:ea typeface="+mn-ea"/>
              <a:cs typeface="+mn-cs"/>
            </a:rPr>
            <a:t> </a:t>
          </a:r>
          <a:r>
            <a:rPr lang="en-US" sz="1100" b="1" i="0" u="none" strike="noStrike">
              <a:solidFill>
                <a:schemeClr val="lt1"/>
              </a:solidFill>
              <a:effectLst/>
              <a:latin typeface="+mn-lt"/>
              <a:ea typeface="+mn-ea"/>
              <a:cs typeface="+mn-cs"/>
            </a:rPr>
            <a:t>$15,365.50</a:t>
          </a:r>
          <a:r>
            <a:rPr lang="en-US" b="1">
              <a:effectLst/>
            </a:rPr>
            <a:t> </a:t>
          </a:r>
        </a:p>
        <a:p>
          <a:endParaRPr lang="en-US" b="1">
            <a:effectLst/>
          </a:endParaRPr>
        </a:p>
        <a:p>
          <a:pPr eaLnBrk="1" fontAlgn="auto" latinLnBrk="0" hangingPunct="1"/>
          <a:r>
            <a:rPr lang="en-US" sz="1100" b="1">
              <a:solidFill>
                <a:schemeClr val="lt1"/>
              </a:solidFill>
              <a:effectLst/>
              <a:latin typeface="+mn-lt"/>
              <a:ea typeface="+mn-ea"/>
              <a:cs typeface="+mn-cs"/>
            </a:rPr>
            <a:t>Q9. Transaction</a:t>
          </a:r>
          <a:r>
            <a:rPr lang="en-US" sz="1100" b="1" baseline="0">
              <a:solidFill>
                <a:schemeClr val="lt1"/>
              </a:solidFill>
              <a:effectLst/>
              <a:latin typeface="+mn-lt"/>
              <a:ea typeface="+mn-ea"/>
              <a:cs typeface="+mn-cs"/>
            </a:rPr>
            <a:t> by amount</a:t>
          </a:r>
          <a:endParaRPr lang="en-US">
            <a:effectLst/>
          </a:endParaRPr>
        </a:p>
        <a:p>
          <a:pPr eaLnBrk="1" fontAlgn="auto" latinLnBrk="0" hangingPunct="1"/>
          <a:r>
            <a:rPr lang="en-US" sz="1100" b="1">
              <a:solidFill>
                <a:schemeClr val="lt1"/>
              </a:solidFill>
              <a:effectLst/>
              <a:latin typeface="+mn-lt"/>
              <a:ea typeface="+mn-ea"/>
              <a:cs typeface="+mn-cs"/>
            </a:rPr>
            <a:t>- </a:t>
          </a:r>
          <a:r>
            <a:rPr lang="en-US" sz="1100" b="0">
              <a:solidFill>
                <a:schemeClr val="lt1"/>
              </a:solidFill>
              <a:effectLst/>
              <a:latin typeface="+mn-lt"/>
              <a:ea typeface="+mn-ea"/>
              <a:cs typeface="+mn-cs"/>
            </a:rPr>
            <a:t>Transactions that fall within </a:t>
          </a:r>
          <a:r>
            <a:rPr lang="en-US" sz="1100" b="1" i="0">
              <a:solidFill>
                <a:schemeClr val="lt1"/>
              </a:solidFill>
              <a:effectLst/>
              <a:latin typeface="+mn-lt"/>
              <a:ea typeface="+mn-ea"/>
              <a:cs typeface="+mn-cs"/>
            </a:rPr>
            <a:t>$0-$1000 </a:t>
          </a:r>
          <a:r>
            <a:rPr lang="en-US" sz="1100" b="0" i="0">
              <a:solidFill>
                <a:schemeClr val="lt1"/>
              </a:solidFill>
              <a:effectLst/>
              <a:latin typeface="+mn-lt"/>
              <a:ea typeface="+mn-ea"/>
              <a:cs typeface="+mn-cs"/>
            </a:rPr>
            <a:t>were</a:t>
          </a:r>
          <a:r>
            <a:rPr lang="en-US" sz="1100" b="0" i="0" baseline="0">
              <a:solidFill>
                <a:schemeClr val="lt1"/>
              </a:solidFill>
              <a:effectLst/>
              <a:latin typeface="+mn-lt"/>
              <a:ea typeface="+mn-ea"/>
              <a:cs typeface="+mn-cs"/>
            </a:rPr>
            <a:t> the highest recorded with over 216 Transactions made</a:t>
          </a:r>
          <a:endParaRPr lang="en-US">
            <a:effectLst/>
          </a:endParaRPr>
        </a:p>
        <a:p>
          <a:pPr eaLnBrk="1" fontAlgn="auto" latinLnBrk="0" hangingPunct="1"/>
          <a:r>
            <a:rPr lang="en-US" sz="1100" b="1">
              <a:solidFill>
                <a:schemeClr val="lt1"/>
              </a:solidFill>
              <a:effectLst/>
              <a:latin typeface="+mn-lt"/>
              <a:ea typeface="+mn-ea"/>
              <a:cs typeface="+mn-cs"/>
            </a:rPr>
            <a:t>- </a:t>
          </a:r>
          <a:r>
            <a:rPr lang="en-US" sz="1100" b="0">
              <a:solidFill>
                <a:schemeClr val="lt1"/>
              </a:solidFill>
              <a:effectLst/>
              <a:latin typeface="+mn-lt"/>
              <a:ea typeface="+mn-ea"/>
              <a:cs typeface="+mn-cs"/>
            </a:rPr>
            <a:t>Transactions that fall within </a:t>
          </a:r>
          <a:r>
            <a:rPr lang="en-US" sz="1100" b="1" i="0">
              <a:solidFill>
                <a:schemeClr val="lt1"/>
              </a:solidFill>
              <a:effectLst/>
              <a:latin typeface="+mn-lt"/>
              <a:ea typeface="+mn-ea"/>
              <a:cs typeface="+mn-cs"/>
            </a:rPr>
            <a:t>$7000-$8000 </a:t>
          </a:r>
          <a:r>
            <a:rPr lang="en-US" sz="1100" b="0" i="0">
              <a:solidFill>
                <a:schemeClr val="lt1"/>
              </a:solidFill>
              <a:effectLst/>
              <a:latin typeface="+mn-lt"/>
              <a:ea typeface="+mn-ea"/>
              <a:cs typeface="+mn-cs"/>
            </a:rPr>
            <a:t>were</a:t>
          </a:r>
          <a:r>
            <a:rPr lang="en-US" sz="1100" b="0" i="0" baseline="0">
              <a:solidFill>
                <a:schemeClr val="lt1"/>
              </a:solidFill>
              <a:effectLst/>
              <a:latin typeface="+mn-lt"/>
              <a:ea typeface="+mn-ea"/>
              <a:cs typeface="+mn-cs"/>
            </a:rPr>
            <a:t> the lowest recorded with just 1 transaction made</a:t>
          </a:r>
          <a:endParaRPr lang="en-US">
            <a:effectLst/>
          </a:endParaRPr>
        </a:p>
        <a:p>
          <a:endParaRPr lang="en-US" sz="1100" b="0" i="0" u="none" strike="noStrike">
            <a:solidFill>
              <a:schemeClr val="lt1"/>
            </a:solidFill>
            <a:effectLst/>
            <a:latin typeface="+mn-lt"/>
            <a:ea typeface="+mn-ea"/>
            <a:cs typeface="+mn-cs"/>
          </a:endParaRPr>
        </a:p>
      </xdr:txBody>
    </xdr:sp>
    <xdr:clientData/>
  </xdr:twoCellAnchor>
  <xdr:twoCellAnchor>
    <xdr:from>
      <xdr:col>10</xdr:col>
      <xdr:colOff>427567</xdr:colOff>
      <xdr:row>1</xdr:row>
      <xdr:rowOff>99484</xdr:rowOff>
    </xdr:from>
    <xdr:to>
      <xdr:col>20</xdr:col>
      <xdr:colOff>416983</xdr:colOff>
      <xdr:row>17</xdr:row>
      <xdr:rowOff>4234</xdr:rowOff>
    </xdr:to>
    <xdr:sp macro="" textlink="">
      <xdr:nvSpPr>
        <xdr:cNvPr id="3" name="Rectangle: Rounded Corners 2">
          <a:extLst>
            <a:ext uri="{FF2B5EF4-FFF2-40B4-BE49-F238E27FC236}">
              <a16:creationId xmlns:a16="http://schemas.microsoft.com/office/drawing/2014/main" id="{DA7E5449-FC15-1E60-B213-884A836E9411}"/>
            </a:ext>
          </a:extLst>
        </xdr:cNvPr>
        <xdr:cNvSpPr/>
      </xdr:nvSpPr>
      <xdr:spPr>
        <a:xfrm>
          <a:off x="6565900" y="279401"/>
          <a:ext cx="6127750" cy="2783416"/>
        </a:xfrm>
        <a:prstGeom prst="roundRect">
          <a:avLst>
            <a:gd name="adj" fmla="val 4720"/>
          </a:avLst>
        </a:prstGeom>
        <a:solidFill>
          <a:schemeClr val="accent1">
            <a:lumMod val="50000"/>
          </a:schemeClr>
        </a:solidFill>
        <a:ln>
          <a:noFill/>
        </a:ln>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ctr"/>
          <a:r>
            <a:rPr lang="en-US" sz="1100" b="1" baseline="0">
              <a:solidFill>
                <a:schemeClr val="bg1"/>
              </a:solidFill>
            </a:rPr>
            <a:t>IN ANALYSIS INSIGHTS</a:t>
          </a:r>
          <a:endParaRPr lang="en-US" sz="1100" b="1">
            <a:solidFill>
              <a:schemeClr val="bg1"/>
            </a:solidFill>
          </a:endParaRPr>
        </a:p>
        <a:p>
          <a:r>
            <a:rPr lang="en-US" b="1"/>
            <a:t> Sales Trend Report</a:t>
          </a:r>
        </a:p>
        <a:p>
          <a:r>
            <a:rPr lang="en-US" b="1"/>
            <a:t>Key Insight</a:t>
          </a:r>
        </a:p>
        <a:p>
          <a:r>
            <a:rPr lang="en-US"/>
            <a:t>Sales performance in </a:t>
          </a:r>
          <a:r>
            <a:rPr lang="en-US" b="1"/>
            <a:t>February</a:t>
          </a:r>
          <a:r>
            <a:rPr lang="en-US"/>
            <a:t> recorded a </a:t>
          </a:r>
          <a:r>
            <a:rPr lang="en-US" b="1"/>
            <a:t>notably low turnout</a:t>
          </a:r>
          <a:r>
            <a:rPr lang="en-US"/>
            <a:t> compared to other months.</a:t>
          </a:r>
        </a:p>
        <a:p>
          <a:r>
            <a:rPr lang="en-US" b="1"/>
            <a:t>Strategic Recommendation</a:t>
          </a:r>
        </a:p>
        <a:p>
          <a:r>
            <a:rPr lang="en-US"/>
            <a:t>To address this decline, it is recommended that </a:t>
          </a:r>
          <a:r>
            <a:rPr lang="en-US" b="1"/>
            <a:t>advertising and promotional campaigns be intensified during February</a:t>
          </a:r>
          <a:r>
            <a:rPr lang="en-US"/>
            <a:t>. Increased marketing visibility is expected to stimulate customer engagement and drive higher sales volumes in </a:t>
          </a:r>
          <a:r>
            <a:rPr lang="en-US" b="1"/>
            <a:t>2015</a:t>
          </a:r>
          <a:r>
            <a:rPr lang="en-US"/>
            <a:t>.</a:t>
          </a:r>
        </a:p>
        <a:p>
          <a:r>
            <a:rPr lang="en-US" b="1"/>
            <a:t>Expected Impact</a:t>
          </a:r>
        </a:p>
        <a:p>
          <a:r>
            <a:rPr lang="en-US"/>
            <a:t>Improved sales performance during historically low periods</a:t>
          </a:r>
        </a:p>
        <a:p>
          <a:r>
            <a:rPr lang="en-US"/>
            <a:t>Better revenue consistency across the year</a:t>
          </a:r>
        </a:p>
        <a:p>
          <a:r>
            <a:rPr lang="en-US"/>
            <a:t>Stronger return on marketing investment through targeted campaigns</a:t>
          </a:r>
        </a:p>
        <a:p>
          <a:endParaRPr lang="en-US" b="0"/>
        </a:p>
      </xdr:txBody>
    </xdr:sp>
    <xdr:clientData/>
  </xdr:twoCellAnchor>
  <xdr:twoCellAnchor>
    <xdr:from>
      <xdr:col>10</xdr:col>
      <xdr:colOff>442383</xdr:colOff>
      <xdr:row>17</xdr:row>
      <xdr:rowOff>93138</xdr:rowOff>
    </xdr:from>
    <xdr:to>
      <xdr:col>20</xdr:col>
      <xdr:colOff>431799</xdr:colOff>
      <xdr:row>34</xdr:row>
      <xdr:rowOff>10587</xdr:rowOff>
    </xdr:to>
    <xdr:sp macro="" textlink="">
      <xdr:nvSpPr>
        <xdr:cNvPr id="4" name="Rectangle: Rounded Corners 3">
          <a:extLst>
            <a:ext uri="{FF2B5EF4-FFF2-40B4-BE49-F238E27FC236}">
              <a16:creationId xmlns:a16="http://schemas.microsoft.com/office/drawing/2014/main" id="{92E29E99-8FEA-C10F-C2C8-2008D0EAEEEF}"/>
            </a:ext>
          </a:extLst>
        </xdr:cNvPr>
        <xdr:cNvSpPr/>
      </xdr:nvSpPr>
      <xdr:spPr>
        <a:xfrm>
          <a:off x="6580716" y="3151721"/>
          <a:ext cx="6127750" cy="2976033"/>
        </a:xfrm>
        <a:prstGeom prst="roundRect">
          <a:avLst>
            <a:gd name="adj" fmla="val 4720"/>
          </a:avLst>
        </a:prstGeom>
        <a:solidFill>
          <a:schemeClr val="accent1">
            <a:lumMod val="50000"/>
          </a:schemeClr>
        </a:solidFill>
        <a:ln>
          <a:noFill/>
        </a:ln>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ctr"/>
          <a:r>
            <a:rPr lang="en-US" sz="1100" b="1" baseline="0">
              <a:solidFill>
                <a:schemeClr val="bg1"/>
              </a:solidFill>
            </a:rPr>
            <a:t>IN ANALYSIS INSIGHTS</a:t>
          </a:r>
          <a:endParaRPr lang="en-US" sz="1100" b="1">
            <a:solidFill>
              <a:schemeClr val="bg1"/>
            </a:solidFill>
          </a:endParaRPr>
        </a:p>
        <a:p>
          <a:r>
            <a:rPr lang="en-US" b="1"/>
            <a:t> Top 10 Customers – Performance Summary</a:t>
          </a:r>
        </a:p>
        <a:p>
          <a:r>
            <a:rPr lang="en-US" b="1"/>
            <a:t>Key Findings</a:t>
          </a:r>
          <a:endParaRPr lang="en-US"/>
        </a:p>
        <a:p>
          <a:r>
            <a:rPr lang="en-US" b="1"/>
            <a:t>Company D</a:t>
          </a:r>
          <a:r>
            <a:rPr lang="en-US"/>
            <a:t> emerged as the </a:t>
          </a:r>
          <a:r>
            <a:rPr lang="en-US" b="1"/>
            <a:t>highest-performing customer</a:t>
          </a:r>
          <a:r>
            <a:rPr lang="en-US"/>
            <a:t>, generating a total revenue of </a:t>
          </a:r>
          <a:r>
            <a:rPr lang="en-US" b="1"/>
            <a:t>$67,180.50</a:t>
          </a:r>
          <a:r>
            <a:rPr lang="en-US"/>
            <a:t>.</a:t>
          </a:r>
        </a:p>
        <a:p>
          <a:r>
            <a:rPr lang="en-US" b="1"/>
            <a:t>Company K</a:t>
          </a:r>
          <a:r>
            <a:rPr lang="en-US"/>
            <a:t> ranked </a:t>
          </a:r>
          <a:r>
            <a:rPr lang="en-US" b="1"/>
            <a:t>10th</a:t>
          </a:r>
          <a:r>
            <a:rPr lang="en-US"/>
            <a:t> on the Top 10 list, recording revenue of </a:t>
          </a:r>
          <a:r>
            <a:rPr lang="en-US" b="1"/>
            <a:t>$21,937.08</a:t>
          </a:r>
          <a:r>
            <a:rPr lang="en-US"/>
            <a:t>.</a:t>
          </a:r>
        </a:p>
        <a:p>
          <a:r>
            <a:rPr lang="en-US" b="1"/>
            <a:t>Strategic Insights &amp; Recommendations</a:t>
          </a:r>
          <a:endParaRPr lang="en-US"/>
        </a:p>
        <a:p>
          <a:r>
            <a:rPr lang="en-US" b="1"/>
            <a:t>Strengthen relationships with top-performing customers</a:t>
          </a:r>
          <a:r>
            <a:rPr lang="en-US"/>
            <a:t> such as Company D through tailored engagement, priority support, and long-term partnership incentives to sustain and grow revenue.</a:t>
          </a:r>
        </a:p>
        <a:p>
          <a:r>
            <a:rPr lang="en-US" b="1"/>
            <a:t>Develop targeted growth strategies for lower-ranking Top 10 customers</a:t>
          </a:r>
          <a:r>
            <a:rPr lang="en-US"/>
            <a:t>, including Company K, to increase their revenue contribution through upselling, cross-selling, and customized offers.</a:t>
          </a:r>
        </a:p>
        <a:p>
          <a:r>
            <a:rPr lang="en-US" b="1"/>
            <a:t>Monitor revenue concentration</a:t>
          </a:r>
          <a:r>
            <a:rPr lang="en-US"/>
            <a:t> within the Top 10 customer group to mitigate over-reliance on a single client and ensure balanced growth.</a:t>
          </a:r>
        </a:p>
        <a:p>
          <a:r>
            <a:rPr lang="en-US" b="1"/>
            <a:t>Expected Business Impact</a:t>
          </a:r>
          <a:endParaRPr lang="en-US"/>
        </a:p>
        <a:p>
          <a:r>
            <a:rPr lang="en-US"/>
            <a:t>Improved customer retention among high-value accounts</a:t>
          </a:r>
        </a:p>
        <a:p>
          <a:r>
            <a:rPr lang="en-US"/>
            <a:t>Increased revenue from mid- and lower-tier top customers</a:t>
          </a:r>
        </a:p>
        <a:p>
          <a:r>
            <a:rPr lang="en-US"/>
            <a:t>More resilient and diversified revenue streams</a:t>
          </a:r>
        </a:p>
        <a:p>
          <a:endParaRPr lang="en-US" b="0"/>
        </a:p>
      </xdr:txBody>
    </xdr:sp>
    <xdr:clientData/>
  </xdr:twoCellAnchor>
  <xdr:twoCellAnchor>
    <xdr:from>
      <xdr:col>31</xdr:col>
      <xdr:colOff>82551</xdr:colOff>
      <xdr:row>1</xdr:row>
      <xdr:rowOff>71967</xdr:rowOff>
    </xdr:from>
    <xdr:to>
      <xdr:col>41</xdr:col>
      <xdr:colOff>71967</xdr:colOff>
      <xdr:row>19</xdr:row>
      <xdr:rowOff>95249</xdr:rowOff>
    </xdr:to>
    <xdr:sp macro="" textlink="">
      <xdr:nvSpPr>
        <xdr:cNvPr id="5" name="Rectangle: Rounded Corners 4">
          <a:extLst>
            <a:ext uri="{FF2B5EF4-FFF2-40B4-BE49-F238E27FC236}">
              <a16:creationId xmlns:a16="http://schemas.microsoft.com/office/drawing/2014/main" id="{5957DA1E-7B60-5B3C-0A06-97E4233D9C31}"/>
            </a:ext>
          </a:extLst>
        </xdr:cNvPr>
        <xdr:cNvSpPr/>
      </xdr:nvSpPr>
      <xdr:spPr>
        <a:xfrm>
          <a:off x="19111384" y="251884"/>
          <a:ext cx="6127750" cy="3261782"/>
        </a:xfrm>
        <a:prstGeom prst="roundRect">
          <a:avLst>
            <a:gd name="adj" fmla="val 4720"/>
          </a:avLst>
        </a:prstGeom>
        <a:solidFill>
          <a:schemeClr val="accent1">
            <a:lumMod val="50000"/>
          </a:schemeClr>
        </a:solidFill>
        <a:ln>
          <a:noFill/>
        </a:ln>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ctr"/>
          <a:r>
            <a:rPr lang="en-US" sz="1100" b="1" baseline="0">
              <a:solidFill>
                <a:schemeClr val="bg1"/>
              </a:solidFill>
            </a:rPr>
            <a:t>IN ANALYSIS INSIGHTS</a:t>
          </a:r>
          <a:endParaRPr lang="en-US" sz="1100" b="1">
            <a:solidFill>
              <a:schemeClr val="bg1"/>
            </a:solidFill>
          </a:endParaRPr>
        </a:p>
        <a:p>
          <a:r>
            <a:rPr lang="en-US" b="1"/>
            <a:t>Sales Performance by Product Category</a:t>
          </a:r>
        </a:p>
        <a:p>
          <a:r>
            <a:rPr lang="en-US" b="1"/>
            <a:t>Key Findings</a:t>
          </a:r>
          <a:endParaRPr lang="en-US"/>
        </a:p>
        <a:p>
          <a:r>
            <a:rPr lang="en-US"/>
            <a:t>The </a:t>
          </a:r>
          <a:r>
            <a:rPr lang="en-US" b="1"/>
            <a:t>Beverages category</a:t>
          </a:r>
          <a:r>
            <a:rPr lang="en-US"/>
            <a:t> recorded the </a:t>
          </a:r>
          <a:r>
            <a:rPr lang="en-US" b="1"/>
            <a:t>highest revenue</a:t>
          </a:r>
          <a:r>
            <a:rPr lang="en-US"/>
            <a:t>, totaling </a:t>
          </a:r>
          <a:r>
            <a:rPr lang="en-US" b="1"/>
            <a:t>$110,577.11</a:t>
          </a:r>
          <a:r>
            <a:rPr lang="en-US"/>
            <a:t>.</a:t>
          </a:r>
        </a:p>
        <a:p>
          <a:r>
            <a:rPr lang="en-US"/>
            <a:t>The </a:t>
          </a:r>
          <a:r>
            <a:rPr lang="en-US" b="1"/>
            <a:t>Grains category</a:t>
          </a:r>
          <a:r>
            <a:rPr lang="en-US"/>
            <a:t> recorded the </a:t>
          </a:r>
          <a:r>
            <a:rPr lang="en-US" b="1"/>
            <a:t>lowest revenue</a:t>
          </a:r>
          <a:r>
            <a:rPr lang="en-US"/>
            <a:t>, with sales of </a:t>
          </a:r>
          <a:r>
            <a:rPr lang="en-US" b="1"/>
            <a:t>$2,884.00</a:t>
          </a:r>
          <a:r>
            <a:rPr lang="en-US"/>
            <a:t>.</a:t>
          </a:r>
        </a:p>
        <a:p>
          <a:r>
            <a:rPr lang="en-US" b="1"/>
            <a:t>Data quality issues</a:t>
          </a:r>
          <a:r>
            <a:rPr lang="en-US"/>
            <a:t> were identified, including </a:t>
          </a:r>
          <a:r>
            <a:rPr lang="en-US" b="1"/>
            <a:t>shipping errors</a:t>
          </a:r>
          <a:r>
            <a:rPr lang="en-US"/>
            <a:t> amounting to </a:t>
          </a:r>
          <a:r>
            <a:rPr lang="en-US" b="1"/>
            <a:t>$30.00</a:t>
          </a:r>
          <a:r>
            <a:rPr lang="en-US"/>
            <a:t>.</a:t>
          </a:r>
        </a:p>
        <a:p>
          <a:r>
            <a:rPr lang="en-US" b="1"/>
            <a:t>Strategic Insights &amp; Recommendations</a:t>
          </a:r>
          <a:endParaRPr lang="en-US"/>
        </a:p>
        <a:p>
          <a:r>
            <a:rPr lang="en-US"/>
            <a:t>Prioritize </a:t>
          </a:r>
          <a:r>
            <a:rPr lang="en-US" b="1"/>
            <a:t>high-performing categories</a:t>
          </a:r>
          <a:r>
            <a:rPr lang="en-US"/>
            <a:t> (e.g., Beverages) through increased marketing investment, inventory availability, and distribution focus.</a:t>
          </a:r>
        </a:p>
        <a:p>
          <a:r>
            <a:rPr lang="en-US"/>
            <a:t>Conduct a </a:t>
          </a:r>
          <a:r>
            <a:rPr lang="en-US" b="1"/>
            <a:t>performance and viability review of low-performing categories</a:t>
          </a:r>
          <a:r>
            <a:rPr lang="en-US"/>
            <a:t> (e.g., Grains) to determine repositioning, pricing adjustments, bundling strategies, or potential portfolio rationalization.</a:t>
          </a:r>
        </a:p>
        <a:p>
          <a:r>
            <a:rPr lang="en-US"/>
            <a:t>Strengthen </a:t>
          </a:r>
          <a:r>
            <a:rPr lang="en-US" b="1"/>
            <a:t>data governance and operational controls</a:t>
          </a:r>
          <a:r>
            <a:rPr lang="en-US"/>
            <a:t> to eliminate shipping and reporting errors, ensuring data integrity for decision-making.</a:t>
          </a:r>
        </a:p>
        <a:p>
          <a:r>
            <a:rPr lang="en-US" b="1"/>
            <a:t>Expected Impact</a:t>
          </a:r>
          <a:endParaRPr lang="en-US"/>
        </a:p>
        <a:p>
          <a:r>
            <a:rPr lang="en-US"/>
            <a:t>Optimized product portfolio performance</a:t>
          </a:r>
        </a:p>
        <a:p>
          <a:r>
            <a:rPr lang="en-US"/>
            <a:t>Improved revenue mix and category profitability</a:t>
          </a:r>
        </a:p>
        <a:p>
          <a:r>
            <a:rPr lang="en-US"/>
            <a:t>Higher data accuracy and operational efficiency</a:t>
          </a:r>
        </a:p>
        <a:p>
          <a:endParaRPr lang="en-US" b="0"/>
        </a:p>
      </xdr:txBody>
    </xdr:sp>
    <xdr:clientData/>
  </xdr:twoCellAnchor>
  <xdr:twoCellAnchor>
    <xdr:from>
      <xdr:col>20</xdr:col>
      <xdr:colOff>552448</xdr:colOff>
      <xdr:row>18</xdr:row>
      <xdr:rowOff>139700</xdr:rowOff>
    </xdr:from>
    <xdr:to>
      <xdr:col>30</xdr:col>
      <xdr:colOff>541865</xdr:colOff>
      <xdr:row>35</xdr:row>
      <xdr:rowOff>116416</xdr:rowOff>
    </xdr:to>
    <xdr:sp macro="" textlink="">
      <xdr:nvSpPr>
        <xdr:cNvPr id="6" name="Rectangle: Rounded Corners 5">
          <a:extLst>
            <a:ext uri="{FF2B5EF4-FFF2-40B4-BE49-F238E27FC236}">
              <a16:creationId xmlns:a16="http://schemas.microsoft.com/office/drawing/2014/main" id="{0EE428F0-AC5C-C5C2-FC06-62C562693909}"/>
            </a:ext>
          </a:extLst>
        </xdr:cNvPr>
        <xdr:cNvSpPr/>
      </xdr:nvSpPr>
      <xdr:spPr>
        <a:xfrm>
          <a:off x="12829115" y="3378200"/>
          <a:ext cx="6127750" cy="3035299"/>
        </a:xfrm>
        <a:prstGeom prst="roundRect">
          <a:avLst>
            <a:gd name="adj" fmla="val 4720"/>
          </a:avLst>
        </a:prstGeom>
        <a:solidFill>
          <a:schemeClr val="accent1">
            <a:lumMod val="50000"/>
          </a:schemeClr>
        </a:solidFill>
        <a:ln>
          <a:noFill/>
        </a:ln>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ctr"/>
          <a:r>
            <a:rPr lang="en-US" sz="1100" b="1" baseline="0">
              <a:solidFill>
                <a:schemeClr val="bg1"/>
              </a:solidFill>
            </a:rPr>
            <a:t>IN ANALYSIS INSIGHTS</a:t>
          </a:r>
          <a:endParaRPr lang="en-US" sz="1100" b="1">
            <a:solidFill>
              <a:schemeClr val="bg1"/>
            </a:solidFill>
          </a:endParaRPr>
        </a:p>
        <a:p>
          <a:r>
            <a:rPr lang="en-US" b="1"/>
            <a:t> Sales Performance by Region</a:t>
          </a:r>
        </a:p>
        <a:p>
          <a:r>
            <a:rPr lang="en-US" b="1"/>
            <a:t>Key Findings</a:t>
          </a:r>
          <a:endParaRPr lang="en-US"/>
        </a:p>
        <a:p>
          <a:r>
            <a:rPr lang="en-US"/>
            <a:t>The </a:t>
          </a:r>
          <a:r>
            <a:rPr lang="en-US" b="1"/>
            <a:t>Northern region</a:t>
          </a:r>
          <a:r>
            <a:rPr lang="en-US"/>
            <a:t> recorded the </a:t>
          </a:r>
          <a:r>
            <a:rPr lang="en-US" b="1"/>
            <a:t>highest sales performance</a:t>
          </a:r>
          <a:r>
            <a:rPr lang="en-US"/>
            <a:t>, contributing </a:t>
          </a:r>
          <a:r>
            <a:rPr lang="en-US" b="1"/>
            <a:t>32.57%</a:t>
          </a:r>
          <a:r>
            <a:rPr lang="en-US"/>
            <a:t> of total revenue.</a:t>
          </a:r>
        </a:p>
        <a:p>
          <a:r>
            <a:rPr lang="en-US"/>
            <a:t>The </a:t>
          </a:r>
          <a:r>
            <a:rPr lang="en-US" b="1"/>
            <a:t>Western region</a:t>
          </a:r>
          <a:r>
            <a:rPr lang="en-US"/>
            <a:t> underperformed, contributing only </a:t>
          </a:r>
          <a:r>
            <a:rPr lang="en-US" b="1"/>
            <a:t>20.97%</a:t>
          </a:r>
          <a:r>
            <a:rPr lang="en-US"/>
            <a:t> of total sales among the four regions.</a:t>
          </a:r>
        </a:p>
        <a:p>
          <a:r>
            <a:rPr lang="en-US" b="1"/>
            <a:t>Strategic Insights &amp; Recommendations</a:t>
          </a:r>
          <a:endParaRPr lang="en-US"/>
        </a:p>
        <a:p>
          <a:r>
            <a:rPr lang="en-US"/>
            <a:t>Sustain and scale the </a:t>
          </a:r>
          <a:r>
            <a:rPr lang="en-US" b="1"/>
            <a:t>successful sales models and market strategies</a:t>
          </a:r>
          <a:r>
            <a:rPr lang="en-US"/>
            <a:t> used in the Northern region across other regions.</a:t>
          </a:r>
        </a:p>
        <a:p>
          <a:r>
            <a:rPr lang="en-US"/>
            <a:t>Deploy </a:t>
          </a:r>
          <a:r>
            <a:rPr lang="en-US" b="1"/>
            <a:t>targeted marketing campaigns, regional promotions, and sales enablement initiatives</a:t>
          </a:r>
          <a:r>
            <a:rPr lang="en-US"/>
            <a:t> in the Western region to improve performance.</a:t>
          </a:r>
        </a:p>
        <a:p>
          <a:r>
            <a:rPr lang="en-US"/>
            <a:t>Review </a:t>
          </a:r>
          <a:r>
            <a:rPr lang="en-US" b="1"/>
            <a:t>regional market dynamics, distribution efficiency, and customer access</a:t>
          </a:r>
          <a:r>
            <a:rPr lang="en-US"/>
            <a:t> to identify structural barriers to growth.</a:t>
          </a:r>
        </a:p>
        <a:p>
          <a:r>
            <a:rPr lang="en-US" b="1"/>
            <a:t>Expected Impact</a:t>
          </a:r>
          <a:endParaRPr lang="en-US"/>
        </a:p>
        <a:p>
          <a:r>
            <a:rPr lang="en-US"/>
            <a:t>Balanced regional revenue growth</a:t>
          </a:r>
        </a:p>
        <a:p>
          <a:r>
            <a:rPr lang="en-US"/>
            <a:t>Stronger market penetration in underperforming regions</a:t>
          </a:r>
        </a:p>
        <a:p>
          <a:r>
            <a:rPr lang="en-US"/>
            <a:t>More efficient allocation of sales and marketing resources</a:t>
          </a:r>
        </a:p>
        <a:p>
          <a:endParaRPr lang="en-US" b="0"/>
        </a:p>
      </xdr:txBody>
    </xdr:sp>
    <xdr:clientData/>
  </xdr:twoCellAnchor>
  <xdr:twoCellAnchor>
    <xdr:from>
      <xdr:col>20</xdr:col>
      <xdr:colOff>514350</xdr:colOff>
      <xdr:row>1</xdr:row>
      <xdr:rowOff>80433</xdr:rowOff>
    </xdr:from>
    <xdr:to>
      <xdr:col>30</xdr:col>
      <xdr:colOff>503767</xdr:colOff>
      <xdr:row>18</xdr:row>
      <xdr:rowOff>63499</xdr:rowOff>
    </xdr:to>
    <xdr:sp macro="" textlink="">
      <xdr:nvSpPr>
        <xdr:cNvPr id="7" name="Rectangle: Rounded Corners 6">
          <a:extLst>
            <a:ext uri="{FF2B5EF4-FFF2-40B4-BE49-F238E27FC236}">
              <a16:creationId xmlns:a16="http://schemas.microsoft.com/office/drawing/2014/main" id="{87280D73-A163-F19D-BAA6-99852AE3F479}"/>
            </a:ext>
          </a:extLst>
        </xdr:cNvPr>
        <xdr:cNvSpPr/>
      </xdr:nvSpPr>
      <xdr:spPr>
        <a:xfrm>
          <a:off x="12791017" y="260350"/>
          <a:ext cx="6127750" cy="3041649"/>
        </a:xfrm>
        <a:prstGeom prst="roundRect">
          <a:avLst>
            <a:gd name="adj" fmla="val 4720"/>
          </a:avLst>
        </a:prstGeom>
        <a:solidFill>
          <a:schemeClr val="accent1">
            <a:lumMod val="50000"/>
          </a:schemeClr>
        </a:solidFill>
        <a:ln>
          <a:noFill/>
        </a:ln>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ctr"/>
          <a:r>
            <a:rPr lang="en-US" sz="1100" b="1" baseline="0">
              <a:solidFill>
                <a:schemeClr val="bg1"/>
              </a:solidFill>
            </a:rPr>
            <a:t>IN ANALYSIS INSIGHTS</a:t>
          </a:r>
          <a:endParaRPr lang="en-US" sz="1100" b="1">
            <a:solidFill>
              <a:schemeClr val="bg1"/>
            </a:solidFill>
          </a:endParaRPr>
        </a:p>
        <a:p>
          <a:r>
            <a:rPr lang="en-US" b="1"/>
            <a:t>Sales Performance by Representative</a:t>
          </a:r>
        </a:p>
        <a:p>
          <a:r>
            <a:rPr lang="en-US" b="1"/>
            <a:t>Key Findings</a:t>
          </a:r>
          <a:endParaRPr lang="en-US"/>
        </a:p>
        <a:p>
          <a:r>
            <a:rPr lang="en-US" b="1"/>
            <a:t>Nancy Freehafer</a:t>
          </a:r>
          <a:r>
            <a:rPr lang="en-US"/>
            <a:t> emerged as the </a:t>
          </a:r>
          <a:r>
            <a:rPr lang="en-US" b="1"/>
            <a:t>top-performing salesperson</a:t>
          </a:r>
          <a:r>
            <a:rPr lang="en-US"/>
            <a:t>, generating </a:t>
          </a:r>
          <a:r>
            <a:rPr lang="en-US" b="1"/>
            <a:t>$104,252.34</a:t>
          </a:r>
          <a:r>
            <a:rPr lang="en-US"/>
            <a:t> in revenue.</a:t>
          </a:r>
        </a:p>
        <a:p>
          <a:r>
            <a:rPr lang="en-US" b="1"/>
            <a:t>Jan Kotas</a:t>
          </a:r>
          <a:r>
            <a:rPr lang="en-US"/>
            <a:t> recorded the </a:t>
          </a:r>
          <a:r>
            <a:rPr lang="en-US" b="1"/>
            <a:t>lowest sales performance</a:t>
          </a:r>
          <a:r>
            <a:rPr lang="en-US"/>
            <a:t>, with revenue of </a:t>
          </a:r>
          <a:r>
            <a:rPr lang="en-US" b="1"/>
            <a:t>$16,350.50</a:t>
          </a:r>
          <a:r>
            <a:rPr lang="en-US"/>
            <a:t>.</a:t>
          </a:r>
        </a:p>
        <a:p>
          <a:r>
            <a:rPr lang="en-US" b="1"/>
            <a:t>Strategic Insights &amp; Recommendations</a:t>
          </a:r>
          <a:endParaRPr lang="en-US"/>
        </a:p>
        <a:p>
          <a:r>
            <a:rPr lang="en-US"/>
            <a:t>Leverage the </a:t>
          </a:r>
          <a:r>
            <a:rPr lang="en-US" b="1"/>
            <a:t>sales strategies and practices of top performers</a:t>
          </a:r>
          <a:r>
            <a:rPr lang="en-US"/>
            <a:t> (e.g., Nancy Freehafer) as internal benchmarks for team training and performance improvement.</a:t>
          </a:r>
        </a:p>
        <a:p>
          <a:r>
            <a:rPr lang="en-US"/>
            <a:t>Implement </a:t>
          </a:r>
          <a:r>
            <a:rPr lang="en-US" b="1"/>
            <a:t>targeted coaching and performance support</a:t>
          </a:r>
          <a:r>
            <a:rPr lang="en-US"/>
            <a:t> for underperforming sales representatives to close performance gaps.</a:t>
          </a:r>
        </a:p>
        <a:p>
          <a:r>
            <a:rPr lang="en-US"/>
            <a:t>Align </a:t>
          </a:r>
          <a:r>
            <a:rPr lang="en-US" b="1"/>
            <a:t>incentive and reward structures</a:t>
          </a:r>
          <a:r>
            <a:rPr lang="en-US"/>
            <a:t> with revenue performance to drive motivation and accountability.</a:t>
          </a:r>
        </a:p>
        <a:p>
          <a:r>
            <a:rPr lang="en-US" b="1"/>
            <a:t>Expected Impact</a:t>
          </a:r>
          <a:endParaRPr lang="en-US"/>
        </a:p>
        <a:p>
          <a:r>
            <a:rPr lang="en-US"/>
            <a:t>Improved overall sales productivity</a:t>
          </a:r>
        </a:p>
        <a:p>
          <a:r>
            <a:rPr lang="en-US"/>
            <a:t>Stronger team-wide performance consistency</a:t>
          </a:r>
        </a:p>
        <a:p>
          <a:r>
            <a:rPr lang="en-US"/>
            <a:t>Increased revenue contribution across the sales force</a:t>
          </a:r>
        </a:p>
        <a:p>
          <a:endParaRPr lang="en-US" b="0"/>
        </a:p>
      </xdr:txBody>
    </xdr:sp>
    <xdr:clientData/>
  </xdr:twoCellAnchor>
  <xdr:twoCellAnchor>
    <xdr:from>
      <xdr:col>51</xdr:col>
      <xdr:colOff>287868</xdr:colOff>
      <xdr:row>1</xdr:row>
      <xdr:rowOff>107949</xdr:rowOff>
    </xdr:from>
    <xdr:to>
      <xdr:col>61</xdr:col>
      <xdr:colOff>277285</xdr:colOff>
      <xdr:row>37</xdr:row>
      <xdr:rowOff>127000</xdr:rowOff>
    </xdr:to>
    <xdr:sp macro="" textlink="">
      <xdr:nvSpPr>
        <xdr:cNvPr id="8" name="Rectangle: Rounded Corners 7">
          <a:extLst>
            <a:ext uri="{FF2B5EF4-FFF2-40B4-BE49-F238E27FC236}">
              <a16:creationId xmlns:a16="http://schemas.microsoft.com/office/drawing/2014/main" id="{2CB100F5-F172-5288-33B0-EF8B3F2E2C3D}"/>
            </a:ext>
          </a:extLst>
        </xdr:cNvPr>
        <xdr:cNvSpPr/>
      </xdr:nvSpPr>
      <xdr:spPr>
        <a:xfrm>
          <a:off x="31593368" y="287866"/>
          <a:ext cx="6127750" cy="6496051"/>
        </a:xfrm>
        <a:prstGeom prst="roundRect">
          <a:avLst>
            <a:gd name="adj" fmla="val 4720"/>
          </a:avLst>
        </a:prstGeom>
        <a:solidFill>
          <a:schemeClr val="accent1">
            <a:lumMod val="50000"/>
          </a:schemeClr>
        </a:solidFill>
        <a:ln>
          <a:noFill/>
        </a:ln>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ctr"/>
          <a:r>
            <a:rPr lang="en-US" sz="1100" b="1" baseline="0">
              <a:solidFill>
                <a:schemeClr val="bg1"/>
              </a:solidFill>
            </a:rPr>
            <a:t>IN ANALYSIS INSIGHTS</a:t>
          </a:r>
          <a:endParaRPr lang="en-US" sz="1100" b="1">
            <a:solidFill>
              <a:schemeClr val="bg1"/>
            </a:solidFill>
          </a:endParaRPr>
        </a:p>
        <a:p>
          <a:r>
            <a:rPr lang="en-US" b="1"/>
            <a:t>Transaction by</a:t>
          </a:r>
          <a:r>
            <a:rPr lang="en-US" b="1" baseline="0"/>
            <a:t> Amount</a:t>
          </a:r>
          <a:r>
            <a:rPr lang="en-US" b="1"/>
            <a:t> – Observations &amp; Insights</a:t>
          </a:r>
        </a:p>
        <a:p>
          <a:r>
            <a:rPr lang="en-US" b="1"/>
            <a:t>Key Observations</a:t>
          </a:r>
        </a:p>
        <a:p>
          <a:r>
            <a:rPr lang="en-US" b="1"/>
            <a:t>High transaction volume is concentrated in low-value purchases</a:t>
          </a:r>
          <a:endParaRPr lang="en-US"/>
        </a:p>
        <a:p>
          <a:pPr lvl="1"/>
          <a:r>
            <a:rPr lang="en-US"/>
            <a:t>The </a:t>
          </a:r>
          <a:r>
            <a:rPr lang="en-US" b="1"/>
            <a:t>$0–$1,000 range accounts for 218 transactions</a:t>
          </a:r>
          <a:r>
            <a:rPr lang="en-US"/>
            <a:t>, representing the </a:t>
          </a:r>
          <a:r>
            <a:rPr lang="en-US" b="1"/>
            <a:t>majority of all orders</a:t>
          </a:r>
          <a:r>
            <a:rPr lang="en-US"/>
            <a:t>.</a:t>
          </a:r>
        </a:p>
        <a:p>
          <a:pPr lvl="1"/>
          <a:r>
            <a:rPr lang="en-US"/>
            <a:t>This indicates a business model driven primarily by </a:t>
          </a:r>
          <a:r>
            <a:rPr lang="en-US" b="1"/>
            <a:t>high-frequency, low-value transactions</a:t>
          </a:r>
          <a:r>
            <a:rPr lang="en-US"/>
            <a:t>.</a:t>
          </a:r>
        </a:p>
        <a:p>
          <a:r>
            <a:rPr lang="en-US" b="1"/>
            <a:t>Sharp decline as transaction value increases</a:t>
          </a:r>
          <a:endParaRPr lang="en-US"/>
        </a:p>
        <a:p>
          <a:pPr lvl="1"/>
          <a:r>
            <a:rPr lang="en-US"/>
            <a:t>Transaction counts drop significantly beyond $1,000:</a:t>
          </a:r>
        </a:p>
        <a:p>
          <a:pPr lvl="2"/>
          <a:r>
            <a:rPr lang="en-US"/>
            <a:t>$1,000–$2,000: 85 transactions</a:t>
          </a:r>
        </a:p>
        <a:p>
          <a:pPr lvl="2"/>
          <a:r>
            <a:rPr lang="en-US"/>
            <a:t>$2,000–$3,000: 31 transactions</a:t>
          </a:r>
        </a:p>
        <a:p>
          <a:pPr lvl="2"/>
          <a:r>
            <a:rPr lang="en-US"/>
            <a:t>$3,000–$4,000: 24 transactions</a:t>
          </a:r>
        </a:p>
        <a:p>
          <a:pPr lvl="1"/>
          <a:r>
            <a:rPr lang="en-US"/>
            <a:t>This suggests </a:t>
          </a:r>
          <a:r>
            <a:rPr lang="en-US" b="1"/>
            <a:t>limited customer progression</a:t>
          </a:r>
          <a:r>
            <a:rPr lang="en-US"/>
            <a:t> into higher-value purchases.</a:t>
          </a:r>
        </a:p>
        <a:p>
          <a:r>
            <a:rPr lang="en-US" b="1"/>
            <a:t>Very few high-value transactions</a:t>
          </a:r>
          <a:endParaRPr lang="en-US"/>
        </a:p>
        <a:p>
          <a:pPr lvl="1"/>
          <a:r>
            <a:rPr lang="en-US"/>
            <a:t>Transactions above $4,000 are rare:</a:t>
          </a:r>
        </a:p>
        <a:p>
          <a:pPr lvl="2"/>
          <a:r>
            <a:rPr lang="en-US"/>
            <a:t>$4,000–$5,000: 8</a:t>
          </a:r>
        </a:p>
        <a:p>
          <a:pPr lvl="2"/>
          <a:r>
            <a:rPr lang="en-US"/>
            <a:t>$6,000–$7,000: 2</a:t>
          </a:r>
        </a:p>
        <a:p>
          <a:pPr lvl="2"/>
          <a:r>
            <a:rPr lang="en-US"/>
            <a:t>$7,000–$8,000: 1</a:t>
          </a:r>
        </a:p>
        <a:p>
          <a:pPr lvl="1"/>
          <a:r>
            <a:rPr lang="en-US"/>
            <a:t>Revenue exposure to </a:t>
          </a:r>
          <a:r>
            <a:rPr lang="en-US" b="1"/>
            <a:t>large-ticket purchases is minimal</a:t>
          </a:r>
          <a:r>
            <a:rPr lang="en-US"/>
            <a:t>.</a:t>
          </a:r>
        </a:p>
        <a:p>
          <a:r>
            <a:rPr lang="en-US" b="1"/>
            <a:t>Revenue growth is volume-led, not value-led</a:t>
          </a:r>
          <a:endParaRPr lang="en-US"/>
        </a:p>
        <a:p>
          <a:pPr lvl="1"/>
          <a:r>
            <a:rPr lang="en-US"/>
            <a:t>The distribution implies that revenue growth depends more on </a:t>
          </a:r>
          <a:r>
            <a:rPr lang="en-US" b="1"/>
            <a:t>order volume</a:t>
          </a:r>
          <a:r>
            <a:rPr lang="en-US"/>
            <a:t> than </a:t>
          </a:r>
          <a:r>
            <a:rPr lang="en-US" b="1"/>
            <a:t>order size</a:t>
          </a:r>
          <a:r>
            <a:rPr lang="en-US"/>
            <a:t>, which may impact margins and scalability.</a:t>
          </a:r>
        </a:p>
        <a:p>
          <a:br>
            <a:rPr lang="en-US"/>
          </a:br>
          <a:endParaRPr lang="en-US"/>
        </a:p>
        <a:p>
          <a:r>
            <a:rPr lang="en-US" b="1"/>
            <a:t>Strategic Insights &amp; Recommendations</a:t>
          </a:r>
        </a:p>
        <a:p>
          <a:r>
            <a:rPr lang="en-US" b="1"/>
            <a:t>Increase average order value (AOV)</a:t>
          </a:r>
          <a:r>
            <a:rPr lang="en-US"/>
            <a:t> by introducing:</a:t>
          </a:r>
        </a:p>
        <a:p>
          <a:pPr lvl="1"/>
          <a:r>
            <a:rPr lang="en-US"/>
            <a:t>Product bundling</a:t>
          </a:r>
        </a:p>
        <a:p>
          <a:pPr lvl="1"/>
          <a:r>
            <a:rPr lang="en-US"/>
            <a:t>Volume discounts</a:t>
          </a:r>
        </a:p>
        <a:p>
          <a:pPr lvl="1"/>
          <a:r>
            <a:rPr lang="en-US"/>
            <a:t>Upselling and cross-selling strategies</a:t>
          </a:r>
        </a:p>
        <a:p>
          <a:r>
            <a:rPr lang="en-US" b="1"/>
            <a:t>Target mid-tier transaction ranges ($1,000–$3,000)</a:t>
          </a:r>
          <a:endParaRPr lang="en-US"/>
        </a:p>
        <a:p>
          <a:pPr lvl="1"/>
          <a:r>
            <a:rPr lang="en-US"/>
            <a:t>These ranges show meaningful activity and represent the </a:t>
          </a:r>
          <a:r>
            <a:rPr lang="en-US" b="1"/>
            <a:t>most realistic opportunity for revenue uplift</a:t>
          </a:r>
          <a:r>
            <a:rPr lang="en-US"/>
            <a:t>.</a:t>
          </a:r>
        </a:p>
        <a:p>
          <a:r>
            <a:rPr lang="en-US" b="1"/>
            <a:t>Develop premium or enterprise offerings</a:t>
          </a:r>
          <a:endParaRPr lang="en-US"/>
        </a:p>
        <a:p>
          <a:pPr lvl="1"/>
          <a:r>
            <a:rPr lang="en-US"/>
            <a:t>Structured high-value packages could convert a portion of low-value, repeat customers into </a:t>
          </a:r>
          <a:r>
            <a:rPr lang="en-US" b="1"/>
            <a:t>higher-spend clients</a:t>
          </a:r>
          <a:r>
            <a:rPr lang="en-US"/>
            <a:t>.</a:t>
          </a:r>
        </a:p>
        <a:p>
          <a:r>
            <a:rPr lang="en-US" b="1"/>
            <a:t>Balance volume and value strategy</a:t>
          </a:r>
          <a:endParaRPr lang="en-US"/>
        </a:p>
        <a:p>
          <a:pPr lvl="1"/>
          <a:r>
            <a:rPr lang="en-US"/>
            <a:t>While low-value transactions drive scale, increasing transaction size will improve </a:t>
          </a:r>
          <a:r>
            <a:rPr lang="en-US" b="1"/>
            <a:t>profitability and operational efficiency</a:t>
          </a:r>
          <a:r>
            <a:rPr lang="en-US"/>
            <a:t>.</a:t>
          </a:r>
        </a:p>
        <a:p>
          <a:endParaRPr lang="en-US" b="0"/>
        </a:p>
      </xdr:txBody>
    </xdr:sp>
    <xdr:clientData/>
  </xdr:twoCellAnchor>
  <xdr:twoCellAnchor>
    <xdr:from>
      <xdr:col>41</xdr:col>
      <xdr:colOff>196850</xdr:colOff>
      <xdr:row>26</xdr:row>
      <xdr:rowOff>27518</xdr:rowOff>
    </xdr:from>
    <xdr:to>
      <xdr:col>51</xdr:col>
      <xdr:colOff>186267</xdr:colOff>
      <xdr:row>65</xdr:row>
      <xdr:rowOff>105834</xdr:rowOff>
    </xdr:to>
    <xdr:sp macro="" textlink="">
      <xdr:nvSpPr>
        <xdr:cNvPr id="9" name="Rectangle: Rounded Corners 8">
          <a:extLst>
            <a:ext uri="{FF2B5EF4-FFF2-40B4-BE49-F238E27FC236}">
              <a16:creationId xmlns:a16="http://schemas.microsoft.com/office/drawing/2014/main" id="{F4C6AAFD-68E4-FC91-4B84-D647826C7D09}"/>
            </a:ext>
          </a:extLst>
        </xdr:cNvPr>
        <xdr:cNvSpPr/>
      </xdr:nvSpPr>
      <xdr:spPr>
        <a:xfrm>
          <a:off x="25364017" y="4705351"/>
          <a:ext cx="6127750" cy="7095066"/>
        </a:xfrm>
        <a:prstGeom prst="roundRect">
          <a:avLst>
            <a:gd name="adj" fmla="val 4720"/>
          </a:avLst>
        </a:prstGeom>
        <a:solidFill>
          <a:schemeClr val="accent1">
            <a:lumMod val="50000"/>
          </a:schemeClr>
        </a:solidFill>
        <a:ln>
          <a:noFill/>
        </a:ln>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ctr"/>
          <a:r>
            <a:rPr lang="en-US" sz="1100" b="1" baseline="0">
              <a:solidFill>
                <a:schemeClr val="bg1"/>
              </a:solidFill>
            </a:rPr>
            <a:t>IN ANALYSIS INSIGHTS</a:t>
          </a:r>
          <a:endParaRPr lang="en-US" sz="1100" b="1">
            <a:solidFill>
              <a:schemeClr val="bg1"/>
            </a:solidFill>
          </a:endParaRPr>
        </a:p>
        <a:p>
          <a:r>
            <a:rPr lang="en-US" b="1"/>
            <a:t>State Performance by Revenue – Observations &amp; Insights</a:t>
          </a:r>
        </a:p>
        <a:p>
          <a:r>
            <a:rPr lang="en-US" b="1"/>
            <a:t>Key Observations</a:t>
          </a:r>
        </a:p>
        <a:p>
          <a:r>
            <a:rPr lang="en-US" b="1"/>
            <a:t>New York is the top-performing state</a:t>
          </a:r>
          <a:endParaRPr lang="en-US"/>
        </a:p>
        <a:p>
          <a:pPr lvl="1"/>
          <a:r>
            <a:rPr lang="en-US" b="1"/>
            <a:t>New York (NY)</a:t>
          </a:r>
          <a:r>
            <a:rPr lang="en-US"/>
            <a:t> leads all states with revenue of </a:t>
          </a:r>
          <a:r>
            <a:rPr lang="en-US" b="1"/>
            <a:t>$67,180.50</a:t>
          </a:r>
          <a:r>
            <a:rPr lang="en-US"/>
            <a:t>, making it the company’s </a:t>
          </a:r>
          <a:r>
            <a:rPr lang="en-US" b="1"/>
            <a:t>strongest state-level market</a:t>
          </a:r>
          <a:r>
            <a:rPr lang="en-US"/>
            <a:t>.</a:t>
          </a:r>
        </a:p>
        <a:p>
          <a:r>
            <a:rPr lang="en-US" b="1"/>
            <a:t>Strong performance cluster in Florida, Oregon, and Tennessee</a:t>
          </a:r>
          <a:endParaRPr lang="en-US"/>
        </a:p>
        <a:p>
          <a:pPr lvl="1"/>
          <a:r>
            <a:rPr lang="en-US" b="1"/>
            <a:t>Oregon (OR)</a:t>
          </a:r>
          <a:r>
            <a:rPr lang="en-US"/>
            <a:t>: $50,208.35</a:t>
          </a:r>
        </a:p>
        <a:p>
          <a:pPr lvl="1"/>
          <a:r>
            <a:rPr lang="en-US" b="1"/>
            <a:t>Florida (FL)</a:t>
          </a:r>
          <a:r>
            <a:rPr lang="en-US"/>
            <a:t>: $50,145.33</a:t>
          </a:r>
        </a:p>
        <a:p>
          <a:pPr lvl="1"/>
          <a:r>
            <a:rPr lang="en-US" b="1"/>
            <a:t>Tennessee (TN)</a:t>
          </a:r>
          <a:r>
            <a:rPr lang="en-US"/>
            <a:t>: $43,713.00</a:t>
          </a:r>
        </a:p>
        <a:p>
          <a:pPr lvl="1"/>
          <a:r>
            <a:rPr lang="en-US"/>
            <a:t>These states form a </a:t>
          </a:r>
          <a:r>
            <a:rPr lang="en-US" b="1"/>
            <a:t>high-value tier</a:t>
          </a:r>
          <a:r>
            <a:rPr lang="en-US"/>
            <a:t>, contributing significantly to total revenue.</a:t>
          </a:r>
        </a:p>
        <a:p>
          <a:r>
            <a:rPr lang="en-US" b="1"/>
            <a:t>Mid-tier contributors show stable but untapped potential</a:t>
          </a:r>
          <a:endParaRPr lang="en-US"/>
        </a:p>
        <a:p>
          <a:pPr lvl="1"/>
          <a:r>
            <a:rPr lang="en-US" b="1"/>
            <a:t>Illinois (IL)</a:t>
          </a:r>
          <a:r>
            <a:rPr lang="en-US"/>
            <a:t>: $41,095.01</a:t>
          </a:r>
        </a:p>
        <a:p>
          <a:pPr lvl="1"/>
          <a:r>
            <a:rPr lang="en-US" b="1"/>
            <a:t>Wisconsin (WI)</a:t>
          </a:r>
          <a:r>
            <a:rPr lang="en-US"/>
            <a:t>: $37,428.00</a:t>
          </a:r>
        </a:p>
        <a:p>
          <a:pPr lvl="1"/>
          <a:r>
            <a:rPr lang="en-US" b="1"/>
            <a:t>Washington (WA)</a:t>
          </a:r>
          <a:r>
            <a:rPr lang="en-US"/>
            <a:t>: $36,839.99</a:t>
          </a:r>
        </a:p>
        <a:p>
          <a:pPr lvl="1"/>
          <a:r>
            <a:rPr lang="en-US" b="1"/>
            <a:t>Utah (UT)</a:t>
          </a:r>
          <a:r>
            <a:rPr lang="en-US"/>
            <a:t>: $32,530.60</a:t>
          </a:r>
        </a:p>
        <a:p>
          <a:pPr lvl="1"/>
          <a:r>
            <a:rPr lang="en-US"/>
            <a:t>These states demonstrate consistent demand but remain </a:t>
          </a:r>
          <a:r>
            <a:rPr lang="en-US" b="1"/>
            <a:t>below top-tier performance</a:t>
          </a:r>
          <a:r>
            <a:rPr lang="en-US"/>
            <a:t>, indicating room for growth.</a:t>
          </a:r>
        </a:p>
        <a:p>
          <a:r>
            <a:rPr lang="en-US" b="1"/>
            <a:t>Lower-performing states contribute minimal revenue</a:t>
          </a:r>
          <a:endParaRPr lang="en-US"/>
        </a:p>
        <a:p>
          <a:pPr lvl="1"/>
          <a:r>
            <a:rPr lang="en-US" b="1"/>
            <a:t>California (CA)</a:t>
          </a:r>
          <a:r>
            <a:rPr lang="en-US"/>
            <a:t>: $27,005.38</a:t>
          </a:r>
        </a:p>
        <a:p>
          <a:pPr lvl="1"/>
          <a:r>
            <a:rPr lang="en-US" b="1"/>
            <a:t>Idaho (ID)</a:t>
          </a:r>
          <a:r>
            <a:rPr lang="en-US"/>
            <a:t>: $17,204.00</a:t>
          </a:r>
        </a:p>
        <a:p>
          <a:pPr lvl="1"/>
          <a:r>
            <a:rPr lang="en-US" b="1"/>
            <a:t>Colorado (CO)</a:t>
          </a:r>
          <a:r>
            <a:rPr lang="en-US"/>
            <a:t>: $16,350.50</a:t>
          </a:r>
        </a:p>
        <a:p>
          <a:pPr lvl="1"/>
          <a:r>
            <a:rPr lang="en-US" b="1"/>
            <a:t>Nevada (NV)</a:t>
          </a:r>
          <a:r>
            <a:rPr lang="en-US"/>
            <a:t>: $15,365.50</a:t>
          </a:r>
        </a:p>
        <a:p>
          <a:pPr lvl="1"/>
          <a:r>
            <a:rPr lang="en-US"/>
            <a:t>These states may be constrained by limited market penetration, pricing sensitivity, or distribution reach.</a:t>
          </a:r>
        </a:p>
        <a:p>
          <a:r>
            <a:rPr lang="en-US" b="1"/>
            <a:t>Revenue distribution is moderately concentrated</a:t>
          </a:r>
          <a:endParaRPr lang="en-US"/>
        </a:p>
        <a:p>
          <a:pPr lvl="1"/>
          <a:r>
            <a:rPr lang="en-US"/>
            <a:t>A small number of states account for a </a:t>
          </a:r>
          <a:r>
            <a:rPr lang="en-US" b="1"/>
            <a:t>disproportionate share of total revenue</a:t>
          </a:r>
          <a:r>
            <a:rPr lang="en-US"/>
            <a:t>, increasing dependence on top-performing regions.</a:t>
          </a:r>
        </a:p>
        <a:p>
          <a:br>
            <a:rPr lang="en-US"/>
          </a:br>
          <a:endParaRPr lang="en-US"/>
        </a:p>
        <a:p>
          <a:r>
            <a:rPr lang="en-US" b="1"/>
            <a:t>Strategic Insights &amp; Recommendations</a:t>
          </a:r>
        </a:p>
        <a:p>
          <a:r>
            <a:rPr lang="en-US" b="1"/>
            <a:t>Defend and expand top-performing states</a:t>
          </a:r>
          <a:r>
            <a:rPr lang="en-US"/>
            <a:t> (NY, OR, FL) through targeted marketing investments, customer retention programs, and operational scalability.</a:t>
          </a:r>
        </a:p>
        <a:p>
          <a:r>
            <a:rPr lang="en-US" b="1"/>
            <a:t>Accelerate growth in mid-tier states</a:t>
          </a:r>
          <a:r>
            <a:rPr lang="en-US"/>
            <a:t> by replicating successful go-to-market strategies used in high-performing states.</a:t>
          </a:r>
        </a:p>
        <a:p>
          <a:r>
            <a:rPr lang="en-US" b="1"/>
            <a:t>Reevaluate market strategy in low-performing states</a:t>
          </a:r>
          <a:r>
            <a:rPr lang="en-US"/>
            <a:t> to determine whether revenue gaps are due to demand limitations, pricing, logistics, or sales coverage.</a:t>
          </a:r>
        </a:p>
        <a:p>
          <a:r>
            <a:rPr lang="en-US"/>
            <a:t>Align </a:t>
          </a:r>
          <a:r>
            <a:rPr lang="en-US" b="1"/>
            <a:t>resource allocation and sales focus</a:t>
          </a:r>
          <a:r>
            <a:rPr lang="en-US"/>
            <a:t> with state-level revenue contribution to maximize return on investment.</a:t>
          </a:r>
        </a:p>
        <a:p>
          <a:r>
            <a:rPr lang="en-US"/>
            <a:t>Monitor </a:t>
          </a:r>
          <a:r>
            <a:rPr lang="en-US" b="1"/>
            <a:t>regional revenue concentration risk</a:t>
          </a:r>
          <a:r>
            <a:rPr lang="en-US"/>
            <a:t> to ensure long-term revenue stability</a:t>
          </a:r>
        </a:p>
        <a:p>
          <a:endParaRPr lang="en-US" b="0"/>
        </a:p>
      </xdr:txBody>
    </xdr:sp>
    <xdr:clientData/>
  </xdr:twoCellAnchor>
  <xdr:twoCellAnchor>
    <xdr:from>
      <xdr:col>41</xdr:col>
      <xdr:colOff>211667</xdr:colOff>
      <xdr:row>1</xdr:row>
      <xdr:rowOff>84668</xdr:rowOff>
    </xdr:from>
    <xdr:to>
      <xdr:col>51</xdr:col>
      <xdr:colOff>201084</xdr:colOff>
      <xdr:row>25</xdr:row>
      <xdr:rowOff>127000</xdr:rowOff>
    </xdr:to>
    <xdr:sp macro="" textlink="">
      <xdr:nvSpPr>
        <xdr:cNvPr id="10" name="Rectangle: Rounded Corners 9">
          <a:extLst>
            <a:ext uri="{FF2B5EF4-FFF2-40B4-BE49-F238E27FC236}">
              <a16:creationId xmlns:a16="http://schemas.microsoft.com/office/drawing/2014/main" id="{5F534D98-600B-8235-84CE-B8E0CA9AC8EC}"/>
            </a:ext>
          </a:extLst>
        </xdr:cNvPr>
        <xdr:cNvSpPr/>
      </xdr:nvSpPr>
      <xdr:spPr>
        <a:xfrm>
          <a:off x="25378834" y="264585"/>
          <a:ext cx="6127750" cy="4360332"/>
        </a:xfrm>
        <a:prstGeom prst="roundRect">
          <a:avLst>
            <a:gd name="adj" fmla="val 4720"/>
          </a:avLst>
        </a:prstGeom>
        <a:solidFill>
          <a:schemeClr val="accent1">
            <a:lumMod val="50000"/>
          </a:schemeClr>
        </a:solidFill>
        <a:ln>
          <a:noFill/>
        </a:ln>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ctr"/>
          <a:r>
            <a:rPr lang="en-US" sz="1100" b="1" baseline="0">
              <a:solidFill>
                <a:schemeClr val="bg1"/>
              </a:solidFill>
            </a:rPr>
            <a:t>IN ANALYSIS INSIGHTS</a:t>
          </a:r>
          <a:endParaRPr lang="en-US" sz="1100" b="1">
            <a:solidFill>
              <a:schemeClr val="bg1"/>
            </a:solidFill>
          </a:endParaRPr>
        </a:p>
        <a:p>
          <a:r>
            <a:rPr lang="en-US" b="1"/>
            <a:t>Top 5 Cities by Revenue – Observations &amp; Insights</a:t>
          </a:r>
        </a:p>
        <a:p>
          <a:r>
            <a:rPr lang="en-US" b="1"/>
            <a:t>Key Observations</a:t>
          </a:r>
        </a:p>
        <a:p>
          <a:r>
            <a:rPr lang="en-US" b="1"/>
            <a:t>New York is the highest revenue-generating city</a:t>
          </a:r>
          <a:endParaRPr lang="en-US"/>
        </a:p>
        <a:p>
          <a:pPr lvl="1"/>
          <a:r>
            <a:rPr lang="en-US"/>
            <a:t>New York leads with </a:t>
          </a:r>
          <a:r>
            <a:rPr lang="en-US" b="1"/>
            <a:t>$67,180.50</a:t>
          </a:r>
          <a:r>
            <a:rPr lang="en-US"/>
            <a:t>, reinforcing its role as the company’s </a:t>
          </a:r>
          <a:r>
            <a:rPr lang="en-US" b="1"/>
            <a:t>most valuable market</a:t>
          </a:r>
          <a:r>
            <a:rPr lang="en-US"/>
            <a:t> in both shipping activity and revenue contribution.</a:t>
          </a:r>
        </a:p>
        <a:p>
          <a:r>
            <a:rPr lang="en-US" b="1"/>
            <a:t>Consistent mid-tier performance across Portland and Miami</a:t>
          </a:r>
          <a:endParaRPr lang="en-US"/>
        </a:p>
        <a:p>
          <a:pPr lvl="1"/>
          <a:r>
            <a:rPr lang="en-US"/>
            <a:t>Portland (</a:t>
          </a:r>
          <a:r>
            <a:rPr lang="en-US" b="1"/>
            <a:t>$50,208.35</a:t>
          </a:r>
          <a:r>
            <a:rPr lang="en-US"/>
            <a:t>) and Miami (</a:t>
          </a:r>
          <a:r>
            <a:rPr lang="en-US" b="1"/>
            <a:t>$50,145.33</a:t>
          </a:r>
          <a:r>
            <a:rPr lang="en-US"/>
            <a:t>) show </a:t>
          </a:r>
          <a:r>
            <a:rPr lang="en-US" b="1"/>
            <a:t>nearly identical revenue performance</a:t>
          </a:r>
          <a:r>
            <a:rPr lang="en-US"/>
            <a:t>, indicating stable and comparable market demand.</a:t>
          </a:r>
        </a:p>
        <a:p>
          <a:r>
            <a:rPr lang="en-US" b="1"/>
            <a:t>Gradual decline in revenue among lower-tier cities</a:t>
          </a:r>
          <a:endParaRPr lang="en-US"/>
        </a:p>
        <a:p>
          <a:pPr lvl="1"/>
          <a:r>
            <a:rPr lang="en-US"/>
            <a:t>Memphis (</a:t>
          </a:r>
          <a:r>
            <a:rPr lang="en-US" b="1"/>
            <a:t>$43,713.00</a:t>
          </a:r>
          <a:r>
            <a:rPr lang="en-US"/>
            <a:t>) and Chicago (</a:t>
          </a:r>
          <a:r>
            <a:rPr lang="en-US" b="1"/>
            <a:t>$41,095.01</a:t>
          </a:r>
          <a:r>
            <a:rPr lang="en-US"/>
            <a:t>) contribute less revenue, though still remain material to overall sales performance.</a:t>
          </a:r>
        </a:p>
        <a:p>
          <a:r>
            <a:rPr lang="en-US" b="1"/>
            <a:t>No extreme revenue volatility across cities</a:t>
          </a:r>
          <a:endParaRPr lang="en-US"/>
        </a:p>
        <a:p>
          <a:pPr lvl="1"/>
          <a:r>
            <a:rPr lang="en-US"/>
            <a:t>Revenue differences are incremental rather than drastic, suggesting </a:t>
          </a:r>
          <a:r>
            <a:rPr lang="en-US" b="1"/>
            <a:t>balanced geographic demand</a:t>
          </a:r>
          <a:r>
            <a:rPr lang="en-US"/>
            <a:t> with room for targeted growth.</a:t>
          </a:r>
        </a:p>
        <a:p>
          <a:br>
            <a:rPr lang="en-US"/>
          </a:br>
          <a:endParaRPr lang="en-US"/>
        </a:p>
        <a:p>
          <a:r>
            <a:rPr lang="en-US" b="1"/>
            <a:t>Strategic Insights &amp; Recommendations</a:t>
          </a:r>
        </a:p>
        <a:p>
          <a:r>
            <a:rPr lang="en-US" b="1"/>
            <a:t>Defend and expand high-value markets</a:t>
          </a:r>
          <a:r>
            <a:rPr lang="en-US"/>
            <a:t> (New York, Portland, Miami) through localized promotions, customer loyalty programs, and service-level enhancements.</a:t>
          </a:r>
        </a:p>
        <a:p>
          <a:r>
            <a:rPr lang="en-US" b="1"/>
            <a:t>Target growth initiatives in mid-to-lower revenue cities</a:t>
          </a:r>
          <a:r>
            <a:rPr lang="en-US"/>
            <a:t> using regional marketing campaigns, pricing incentives, or expanded product availability.</a:t>
          </a:r>
        </a:p>
        <a:p>
          <a:r>
            <a:rPr lang="en-US"/>
            <a:t>Align </a:t>
          </a:r>
          <a:r>
            <a:rPr lang="en-US" b="1"/>
            <a:t>shipping volume with revenue contribution</a:t>
          </a:r>
          <a:r>
            <a:rPr lang="en-US"/>
            <a:t> to ensure logistics investments are proportional to market value.</a:t>
          </a:r>
        </a:p>
        <a:p>
          <a:endParaRPr lang="en-US" b="0"/>
        </a:p>
      </xdr:txBody>
    </xdr:sp>
    <xdr:clientData/>
  </xdr:twoCellAnchor>
  <xdr:twoCellAnchor>
    <xdr:from>
      <xdr:col>31</xdr:col>
      <xdr:colOff>35984</xdr:colOff>
      <xdr:row>19</xdr:row>
      <xdr:rowOff>162984</xdr:rowOff>
    </xdr:from>
    <xdr:to>
      <xdr:col>41</xdr:col>
      <xdr:colOff>25400</xdr:colOff>
      <xdr:row>41</xdr:row>
      <xdr:rowOff>10584</xdr:rowOff>
    </xdr:to>
    <xdr:sp macro="" textlink="">
      <xdr:nvSpPr>
        <xdr:cNvPr id="11" name="Rectangle: Rounded Corners 10">
          <a:extLst>
            <a:ext uri="{FF2B5EF4-FFF2-40B4-BE49-F238E27FC236}">
              <a16:creationId xmlns:a16="http://schemas.microsoft.com/office/drawing/2014/main" id="{684450C1-2FD6-495D-BEB9-D77E9933CF42}"/>
            </a:ext>
          </a:extLst>
        </xdr:cNvPr>
        <xdr:cNvSpPr/>
      </xdr:nvSpPr>
      <xdr:spPr>
        <a:xfrm>
          <a:off x="19064817" y="3581401"/>
          <a:ext cx="6127750" cy="3805766"/>
        </a:xfrm>
        <a:prstGeom prst="roundRect">
          <a:avLst>
            <a:gd name="adj" fmla="val 4720"/>
          </a:avLst>
        </a:prstGeom>
        <a:solidFill>
          <a:schemeClr val="accent1">
            <a:lumMod val="50000"/>
          </a:schemeClr>
        </a:solidFill>
        <a:ln>
          <a:noFill/>
        </a:ln>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ctr"/>
          <a:r>
            <a:rPr lang="en-US" sz="1100" b="1" baseline="0">
              <a:solidFill>
                <a:schemeClr val="bg1"/>
              </a:solidFill>
            </a:rPr>
            <a:t>IN ANALYSIS INSIGHTS</a:t>
          </a:r>
          <a:endParaRPr lang="en-US" sz="1100" b="1">
            <a:solidFill>
              <a:schemeClr val="bg1"/>
            </a:solidFill>
          </a:endParaRPr>
        </a:p>
        <a:p>
          <a:r>
            <a:rPr lang="en-US" b="1"/>
            <a:t>Top 6 Ship Cities – Observations &amp; Insights</a:t>
          </a:r>
        </a:p>
        <a:p>
          <a:r>
            <a:rPr lang="en-US" b="1"/>
            <a:t>Key Observations</a:t>
          </a:r>
        </a:p>
        <a:p>
          <a:r>
            <a:rPr lang="en-US" b="1"/>
            <a:t>New York is the primary shipping hub</a:t>
          </a:r>
          <a:endParaRPr lang="en-US"/>
        </a:p>
        <a:p>
          <a:pPr lvl="1"/>
          <a:r>
            <a:rPr lang="en-US"/>
            <a:t>New York accounts for the </a:t>
          </a:r>
          <a:r>
            <a:rPr lang="en-US" b="1"/>
            <a:t>largest share of shipments</a:t>
          </a:r>
          <a:r>
            <a:rPr lang="en-US"/>
            <a:t>, indicating its strategic importance in order fulfillment and customer demand concentration.</a:t>
          </a:r>
        </a:p>
        <a:p>
          <a:r>
            <a:rPr lang="en-US" b="1"/>
            <a:t>Strong secondary hubs: Portland and Miami</a:t>
          </a:r>
          <a:endParaRPr lang="en-US"/>
        </a:p>
        <a:p>
          <a:pPr lvl="1"/>
          <a:r>
            <a:rPr lang="en-US"/>
            <a:t>Portland and Miami follow closely, forming a </a:t>
          </a:r>
          <a:r>
            <a:rPr lang="en-US" b="1"/>
            <a:t>second tier of high-volume ship cities</a:t>
          </a:r>
          <a:r>
            <a:rPr lang="en-US"/>
            <a:t>.</a:t>
          </a:r>
        </a:p>
        <a:p>
          <a:pPr lvl="1"/>
          <a:r>
            <a:rPr lang="en-US"/>
            <a:t>These cities likely serve as key regional distribution points supporting surrounding markets.</a:t>
          </a:r>
        </a:p>
        <a:p>
          <a:r>
            <a:rPr lang="en-US" b="1"/>
            <a:t>Moderate-to-low shipment volumes in remaining cities</a:t>
          </a:r>
          <a:endParaRPr lang="en-US"/>
        </a:p>
        <a:p>
          <a:pPr lvl="1"/>
          <a:r>
            <a:rPr lang="en-US"/>
            <a:t>Memphis, Chicago, and Milwaukee show </a:t>
          </a:r>
          <a:r>
            <a:rPr lang="en-US" b="1"/>
            <a:t>comparatively lower shipping volumes</a:t>
          </a:r>
          <a:r>
            <a:rPr lang="en-US"/>
            <a:t>.</a:t>
          </a:r>
        </a:p>
        <a:p>
          <a:pPr lvl="1"/>
          <a:r>
            <a:rPr lang="en-US"/>
            <a:t>These cities may represent either smaller markets or underutilized logistics routes.</a:t>
          </a:r>
        </a:p>
        <a:p>
          <a:br>
            <a:rPr lang="en-US"/>
          </a:br>
          <a:endParaRPr lang="en-US"/>
        </a:p>
        <a:p>
          <a:r>
            <a:rPr lang="en-US" b="1"/>
            <a:t>Strategic Insights &amp; Recommendations</a:t>
          </a:r>
        </a:p>
        <a:p>
          <a:r>
            <a:rPr lang="en-US" b="1"/>
            <a:t>Optimize logistics capacity in New York, Portland, and Miami</a:t>
          </a:r>
          <a:r>
            <a:rPr lang="en-US"/>
            <a:t> to prevent bottlenecks and maintain service quality as demand scales.</a:t>
          </a:r>
        </a:p>
        <a:p>
          <a:r>
            <a:rPr lang="en-US" b="1"/>
            <a:t>Assess fulfillment efficiency and demand drivers</a:t>
          </a:r>
          <a:r>
            <a:rPr lang="en-US"/>
            <a:t> in lower-volume cities to determine whether performance gaps are demand-related or operational.</a:t>
          </a:r>
        </a:p>
        <a:p>
          <a:r>
            <a:rPr lang="en-US"/>
            <a:t>Explore </a:t>
          </a:r>
          <a:r>
            <a:rPr lang="en-US" b="1"/>
            <a:t>regional warehouse optimization or route consolidation</a:t>
          </a:r>
          <a:r>
            <a:rPr lang="en-US"/>
            <a:t> to reduce shipping costs while maintaining delivery timelines.</a:t>
          </a:r>
        </a:p>
        <a:p>
          <a:endParaRPr lang="en-US" b="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253496</xdr:colOff>
      <xdr:row>1</xdr:row>
      <xdr:rowOff>159062</xdr:rowOff>
    </xdr:from>
    <xdr:to>
      <xdr:col>11</xdr:col>
      <xdr:colOff>553358</xdr:colOff>
      <xdr:row>16</xdr:row>
      <xdr:rowOff>58002</xdr:rowOff>
    </xdr:to>
    <xdr:graphicFrame macro="">
      <xdr:nvGraphicFramePr>
        <xdr:cNvPr id="2" name="Chart 1">
          <a:extLst>
            <a:ext uri="{FF2B5EF4-FFF2-40B4-BE49-F238E27FC236}">
              <a16:creationId xmlns:a16="http://schemas.microsoft.com/office/drawing/2014/main" id="{811CF967-E221-AFED-6E15-96B62CF5CD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458757</xdr:colOff>
      <xdr:row>2</xdr:row>
      <xdr:rowOff>9201</xdr:rowOff>
    </xdr:from>
    <xdr:to>
      <xdr:col>11</xdr:col>
      <xdr:colOff>77756</xdr:colOff>
      <xdr:row>21</xdr:row>
      <xdr:rowOff>97167</xdr:rowOff>
    </xdr:to>
    <xdr:graphicFrame macro="">
      <xdr:nvGraphicFramePr>
        <xdr:cNvPr id="3" name="Chart 2">
          <a:extLst>
            <a:ext uri="{FF2B5EF4-FFF2-40B4-BE49-F238E27FC236}">
              <a16:creationId xmlns:a16="http://schemas.microsoft.com/office/drawing/2014/main" id="{26331CF8-8F24-E3EA-4323-2D2FC1B712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338236</xdr:colOff>
      <xdr:row>3</xdr:row>
      <xdr:rowOff>32398</xdr:rowOff>
    </xdr:from>
    <xdr:to>
      <xdr:col>15</xdr:col>
      <xdr:colOff>57021</xdr:colOff>
      <xdr:row>24</xdr:row>
      <xdr:rowOff>23326</xdr:rowOff>
    </xdr:to>
    <xdr:graphicFrame macro="">
      <xdr:nvGraphicFramePr>
        <xdr:cNvPr id="2" name="Chart 1">
          <a:extLst>
            <a:ext uri="{FF2B5EF4-FFF2-40B4-BE49-F238E27FC236}">
              <a16:creationId xmlns:a16="http://schemas.microsoft.com/office/drawing/2014/main" id="{68A11205-8D8A-4FCA-B55E-C7F5B7D142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66524</xdr:colOff>
      <xdr:row>3</xdr:row>
      <xdr:rowOff>129268</xdr:rowOff>
    </xdr:from>
    <xdr:to>
      <xdr:col>10</xdr:col>
      <xdr:colOff>526142</xdr:colOff>
      <xdr:row>24</xdr:row>
      <xdr:rowOff>108857</xdr:rowOff>
    </xdr:to>
    <xdr:graphicFrame macro="">
      <xdr:nvGraphicFramePr>
        <xdr:cNvPr id="2" name="Chart 1">
          <a:extLst>
            <a:ext uri="{FF2B5EF4-FFF2-40B4-BE49-F238E27FC236}">
              <a16:creationId xmlns:a16="http://schemas.microsoft.com/office/drawing/2014/main" id="{0AA00B86-4773-41AB-B188-5C39D612FF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2594</xdr:colOff>
      <xdr:row>1</xdr:row>
      <xdr:rowOff>172356</xdr:rowOff>
    </xdr:from>
    <xdr:to>
      <xdr:col>13</xdr:col>
      <xdr:colOff>419876</xdr:colOff>
      <xdr:row>20</xdr:row>
      <xdr:rowOff>162672</xdr:rowOff>
    </xdr:to>
    <xdr:graphicFrame macro="">
      <xdr:nvGraphicFramePr>
        <xdr:cNvPr id="2" name="Chart 1">
          <a:extLst>
            <a:ext uri="{FF2B5EF4-FFF2-40B4-BE49-F238E27FC236}">
              <a16:creationId xmlns:a16="http://schemas.microsoft.com/office/drawing/2014/main" id="{FAC81E19-2FF2-4862-A051-4BFD6EF5A0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7</xdr:col>
      <xdr:colOff>512536</xdr:colOff>
      <xdr:row>7</xdr:row>
      <xdr:rowOff>156936</xdr:rowOff>
    </xdr:from>
    <xdr:to>
      <xdr:col>15</xdr:col>
      <xdr:colOff>222250</xdr:colOff>
      <xdr:row>22</xdr:row>
      <xdr:rowOff>178707</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55A300A3-7C8F-7941-1B2D-DEED4C6AE85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385379" y="1452336"/>
              <a:ext cx="4934857" cy="2797628"/>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4</xdr:col>
      <xdr:colOff>166311</xdr:colOff>
      <xdr:row>5</xdr:row>
      <xdr:rowOff>49245</xdr:rowOff>
    </xdr:from>
    <xdr:to>
      <xdr:col>14</xdr:col>
      <xdr:colOff>85532</xdr:colOff>
      <xdr:row>25</xdr:row>
      <xdr:rowOff>47321</xdr:rowOff>
    </xdr:to>
    <xdr:graphicFrame macro="">
      <xdr:nvGraphicFramePr>
        <xdr:cNvPr id="2" name="Chart 1">
          <a:extLst>
            <a:ext uri="{FF2B5EF4-FFF2-40B4-BE49-F238E27FC236}">
              <a16:creationId xmlns:a16="http://schemas.microsoft.com/office/drawing/2014/main" id="{5714B673-D09B-42F4-992A-F4CFCCA8CC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155510</xdr:colOff>
      <xdr:row>2</xdr:row>
      <xdr:rowOff>36932</xdr:rowOff>
    </xdr:from>
    <xdr:to>
      <xdr:col>22</xdr:col>
      <xdr:colOff>536510</xdr:colOff>
      <xdr:row>39</xdr:row>
      <xdr:rowOff>147734</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356A4DF4-0C36-9E1A-F53E-76AF6E9C02E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525347" y="410156"/>
              <a:ext cx="11484429" cy="7015455"/>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twoCellAnchor>
    <xdr:from>
      <xdr:col>3</xdr:col>
      <xdr:colOff>54428</xdr:colOff>
      <xdr:row>1</xdr:row>
      <xdr:rowOff>135165</xdr:rowOff>
    </xdr:from>
    <xdr:to>
      <xdr:col>12</xdr:col>
      <xdr:colOff>174171</xdr:colOff>
      <xdr:row>16</xdr:row>
      <xdr:rowOff>106818</xdr:rowOff>
    </xdr:to>
    <xdr:graphicFrame macro="">
      <xdr:nvGraphicFramePr>
        <xdr:cNvPr id="3" name="Chart 2">
          <a:extLst>
            <a:ext uri="{FF2B5EF4-FFF2-40B4-BE49-F238E27FC236}">
              <a16:creationId xmlns:a16="http://schemas.microsoft.com/office/drawing/2014/main" id="{172D1084-CD77-4309-D3DC-091C9DF5FA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65313</xdr:colOff>
      <xdr:row>0</xdr:row>
      <xdr:rowOff>54427</xdr:rowOff>
    </xdr:from>
    <xdr:to>
      <xdr:col>22</xdr:col>
      <xdr:colOff>538238</xdr:colOff>
      <xdr:row>38</xdr:row>
      <xdr:rowOff>187474</xdr:rowOff>
    </xdr:to>
    <xdr:sp macro="" textlink="">
      <xdr:nvSpPr>
        <xdr:cNvPr id="24" name="Rectangle: Rounded Corners 23">
          <a:extLst>
            <a:ext uri="{FF2B5EF4-FFF2-40B4-BE49-F238E27FC236}">
              <a16:creationId xmlns:a16="http://schemas.microsoft.com/office/drawing/2014/main" id="{57F277E0-BE69-76B0-13D6-0D1AC34C816C}"/>
            </a:ext>
          </a:extLst>
        </xdr:cNvPr>
        <xdr:cNvSpPr/>
      </xdr:nvSpPr>
      <xdr:spPr>
        <a:xfrm>
          <a:off x="65313" y="54427"/>
          <a:ext cx="14842068" cy="7257143"/>
        </a:xfrm>
        <a:prstGeom prst="roundRect">
          <a:avLst>
            <a:gd name="adj" fmla="val 3667"/>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139094</xdr:colOff>
      <xdr:row>0</xdr:row>
      <xdr:rowOff>114904</xdr:rowOff>
    </xdr:from>
    <xdr:to>
      <xdr:col>2</xdr:col>
      <xdr:colOff>-1</xdr:colOff>
      <xdr:row>38</xdr:row>
      <xdr:rowOff>145141</xdr:rowOff>
    </xdr:to>
    <xdr:sp macro="" textlink="">
      <xdr:nvSpPr>
        <xdr:cNvPr id="25" name="Rectangle: Rounded Corners 24">
          <a:extLst>
            <a:ext uri="{FF2B5EF4-FFF2-40B4-BE49-F238E27FC236}">
              <a16:creationId xmlns:a16="http://schemas.microsoft.com/office/drawing/2014/main" id="{C0E4CCAC-1D09-1D7A-13F3-8CB91EA99B8A}"/>
            </a:ext>
          </a:extLst>
        </xdr:cNvPr>
        <xdr:cNvSpPr/>
      </xdr:nvSpPr>
      <xdr:spPr>
        <a:xfrm>
          <a:off x="139094" y="114904"/>
          <a:ext cx="1167191" cy="7154333"/>
        </a:xfrm>
        <a:prstGeom prst="roundRect">
          <a:avLst>
            <a:gd name="adj" fmla="val 12004"/>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157241</xdr:colOff>
      <xdr:row>2</xdr:row>
      <xdr:rowOff>139096</xdr:rowOff>
    </xdr:from>
    <xdr:to>
      <xdr:col>4</xdr:col>
      <xdr:colOff>592668</xdr:colOff>
      <xdr:row>7</xdr:row>
      <xdr:rowOff>108857</xdr:rowOff>
    </xdr:to>
    <xdr:sp macro="" textlink="">
      <xdr:nvSpPr>
        <xdr:cNvPr id="26" name="Rectangle: Rounded Corners 25">
          <a:extLst>
            <a:ext uri="{FF2B5EF4-FFF2-40B4-BE49-F238E27FC236}">
              <a16:creationId xmlns:a16="http://schemas.microsoft.com/office/drawing/2014/main" id="{5999C28B-08F9-3B41-3A27-B4A44297C464}"/>
            </a:ext>
          </a:extLst>
        </xdr:cNvPr>
        <xdr:cNvSpPr/>
      </xdr:nvSpPr>
      <xdr:spPr>
        <a:xfrm>
          <a:off x="1463527" y="514048"/>
          <a:ext cx="1741712" cy="907142"/>
        </a:xfrm>
        <a:prstGeom prst="roundRect">
          <a:avLst>
            <a:gd name="adj" fmla="val 12004"/>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5</xdr:col>
      <xdr:colOff>85879</xdr:colOff>
      <xdr:row>2</xdr:row>
      <xdr:rowOff>170544</xdr:rowOff>
    </xdr:from>
    <xdr:to>
      <xdr:col>7</xdr:col>
      <xdr:colOff>521305</xdr:colOff>
      <xdr:row>7</xdr:row>
      <xdr:rowOff>140305</xdr:rowOff>
    </xdr:to>
    <xdr:sp macro="" textlink="">
      <xdr:nvSpPr>
        <xdr:cNvPr id="32" name="Rectangle: Rounded Corners 31">
          <a:extLst>
            <a:ext uri="{FF2B5EF4-FFF2-40B4-BE49-F238E27FC236}">
              <a16:creationId xmlns:a16="http://schemas.microsoft.com/office/drawing/2014/main" id="{96132DBC-7973-2683-B8B8-B4114E44800B}"/>
            </a:ext>
          </a:extLst>
        </xdr:cNvPr>
        <xdr:cNvSpPr/>
      </xdr:nvSpPr>
      <xdr:spPr>
        <a:xfrm>
          <a:off x="3351593" y="545496"/>
          <a:ext cx="1741712" cy="907142"/>
        </a:xfrm>
        <a:prstGeom prst="roundRect">
          <a:avLst>
            <a:gd name="adj" fmla="val 12004"/>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8</xdr:col>
      <xdr:colOff>8469</xdr:colOff>
      <xdr:row>2</xdr:row>
      <xdr:rowOff>183849</xdr:rowOff>
    </xdr:from>
    <xdr:to>
      <xdr:col>10</xdr:col>
      <xdr:colOff>443895</xdr:colOff>
      <xdr:row>7</xdr:row>
      <xdr:rowOff>153610</xdr:rowOff>
    </xdr:to>
    <xdr:sp macro="" textlink="">
      <xdr:nvSpPr>
        <xdr:cNvPr id="36" name="Rectangle: Rounded Corners 35">
          <a:extLst>
            <a:ext uri="{FF2B5EF4-FFF2-40B4-BE49-F238E27FC236}">
              <a16:creationId xmlns:a16="http://schemas.microsoft.com/office/drawing/2014/main" id="{1C5C3BC9-3A4F-7256-17CB-7DF4617AACB8}"/>
            </a:ext>
          </a:extLst>
        </xdr:cNvPr>
        <xdr:cNvSpPr/>
      </xdr:nvSpPr>
      <xdr:spPr>
        <a:xfrm>
          <a:off x="5233612" y="558801"/>
          <a:ext cx="1741712" cy="907142"/>
        </a:xfrm>
        <a:prstGeom prst="roundRect">
          <a:avLst>
            <a:gd name="adj" fmla="val 12004"/>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10</xdr:col>
      <xdr:colOff>584202</xdr:colOff>
      <xdr:row>3</xdr:row>
      <xdr:rowOff>9677</xdr:rowOff>
    </xdr:from>
    <xdr:to>
      <xdr:col>13</xdr:col>
      <xdr:colOff>366486</xdr:colOff>
      <xdr:row>7</xdr:row>
      <xdr:rowOff>166915</xdr:rowOff>
    </xdr:to>
    <xdr:sp macro="" textlink="">
      <xdr:nvSpPr>
        <xdr:cNvPr id="37" name="Rectangle: Rounded Corners 36">
          <a:extLst>
            <a:ext uri="{FF2B5EF4-FFF2-40B4-BE49-F238E27FC236}">
              <a16:creationId xmlns:a16="http://schemas.microsoft.com/office/drawing/2014/main" id="{D4B9D57E-E4BF-8E87-69A9-974D3EC552FE}"/>
            </a:ext>
          </a:extLst>
        </xdr:cNvPr>
        <xdr:cNvSpPr/>
      </xdr:nvSpPr>
      <xdr:spPr>
        <a:xfrm>
          <a:off x="7115631" y="572106"/>
          <a:ext cx="1741712" cy="907142"/>
        </a:xfrm>
        <a:prstGeom prst="roundRect">
          <a:avLst>
            <a:gd name="adj" fmla="val 12004"/>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13</xdr:col>
      <xdr:colOff>506793</xdr:colOff>
      <xdr:row>3</xdr:row>
      <xdr:rowOff>22982</xdr:rowOff>
    </xdr:from>
    <xdr:to>
      <xdr:col>16</xdr:col>
      <xdr:colOff>289076</xdr:colOff>
      <xdr:row>7</xdr:row>
      <xdr:rowOff>180220</xdr:rowOff>
    </xdr:to>
    <xdr:sp macro="" textlink="">
      <xdr:nvSpPr>
        <xdr:cNvPr id="38" name="Rectangle: Rounded Corners 37">
          <a:extLst>
            <a:ext uri="{FF2B5EF4-FFF2-40B4-BE49-F238E27FC236}">
              <a16:creationId xmlns:a16="http://schemas.microsoft.com/office/drawing/2014/main" id="{56013F7A-CA02-D2BC-2422-D23DFD117E57}"/>
            </a:ext>
          </a:extLst>
        </xdr:cNvPr>
        <xdr:cNvSpPr/>
      </xdr:nvSpPr>
      <xdr:spPr>
        <a:xfrm>
          <a:off x="8997650" y="585411"/>
          <a:ext cx="1741712" cy="907142"/>
        </a:xfrm>
        <a:prstGeom prst="roundRect">
          <a:avLst>
            <a:gd name="adj" fmla="val 12004"/>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16</xdr:col>
      <xdr:colOff>429383</xdr:colOff>
      <xdr:row>3</xdr:row>
      <xdr:rowOff>96761</xdr:rowOff>
    </xdr:from>
    <xdr:to>
      <xdr:col>18</xdr:col>
      <xdr:colOff>368905</xdr:colOff>
      <xdr:row>4</xdr:row>
      <xdr:rowOff>145144</xdr:rowOff>
    </xdr:to>
    <xdr:sp macro="" textlink="">
      <xdr:nvSpPr>
        <xdr:cNvPr id="39" name="Rectangle: Rounded Corners 38">
          <a:extLst>
            <a:ext uri="{FF2B5EF4-FFF2-40B4-BE49-F238E27FC236}">
              <a16:creationId xmlns:a16="http://schemas.microsoft.com/office/drawing/2014/main" id="{754B0978-1434-C664-AB16-438F62202660}"/>
            </a:ext>
          </a:extLst>
        </xdr:cNvPr>
        <xdr:cNvSpPr/>
      </xdr:nvSpPr>
      <xdr:spPr>
        <a:xfrm>
          <a:off x="10879669" y="659190"/>
          <a:ext cx="1245807" cy="235858"/>
        </a:xfrm>
        <a:prstGeom prst="roundRect">
          <a:avLst>
            <a:gd name="adj" fmla="val 12004"/>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16</xdr:col>
      <xdr:colOff>436640</xdr:colOff>
      <xdr:row>5</xdr:row>
      <xdr:rowOff>170540</xdr:rowOff>
    </xdr:from>
    <xdr:to>
      <xdr:col>18</xdr:col>
      <xdr:colOff>376162</xdr:colOff>
      <xdr:row>7</xdr:row>
      <xdr:rowOff>31446</xdr:rowOff>
    </xdr:to>
    <xdr:sp macro="" textlink="">
      <xdr:nvSpPr>
        <xdr:cNvPr id="40" name="Rectangle: Rounded Corners 39">
          <a:extLst>
            <a:ext uri="{FF2B5EF4-FFF2-40B4-BE49-F238E27FC236}">
              <a16:creationId xmlns:a16="http://schemas.microsoft.com/office/drawing/2014/main" id="{EA08A18B-0628-E127-0589-1C1D58DCA0CD}"/>
            </a:ext>
          </a:extLst>
        </xdr:cNvPr>
        <xdr:cNvSpPr/>
      </xdr:nvSpPr>
      <xdr:spPr>
        <a:xfrm>
          <a:off x="10886926" y="1107921"/>
          <a:ext cx="1245807" cy="235858"/>
        </a:xfrm>
        <a:prstGeom prst="roundRect">
          <a:avLst>
            <a:gd name="adj" fmla="val 12004"/>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18</xdr:col>
      <xdr:colOff>510422</xdr:colOff>
      <xdr:row>3</xdr:row>
      <xdr:rowOff>99175</xdr:rowOff>
    </xdr:from>
    <xdr:to>
      <xdr:col>20</xdr:col>
      <xdr:colOff>449943</xdr:colOff>
      <xdr:row>4</xdr:row>
      <xdr:rowOff>147558</xdr:rowOff>
    </xdr:to>
    <xdr:sp macro="" textlink="">
      <xdr:nvSpPr>
        <xdr:cNvPr id="41" name="Rectangle: Rounded Corners 40">
          <a:extLst>
            <a:ext uri="{FF2B5EF4-FFF2-40B4-BE49-F238E27FC236}">
              <a16:creationId xmlns:a16="http://schemas.microsoft.com/office/drawing/2014/main" id="{18915715-041E-E904-E3D0-E2C5D8C7AF67}"/>
            </a:ext>
          </a:extLst>
        </xdr:cNvPr>
        <xdr:cNvSpPr/>
      </xdr:nvSpPr>
      <xdr:spPr>
        <a:xfrm>
          <a:off x="12266993" y="661604"/>
          <a:ext cx="1245807" cy="235858"/>
        </a:xfrm>
        <a:prstGeom prst="roundRect">
          <a:avLst>
            <a:gd name="adj" fmla="val 12004"/>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20</xdr:col>
      <xdr:colOff>547917</xdr:colOff>
      <xdr:row>3</xdr:row>
      <xdr:rowOff>94335</xdr:rowOff>
    </xdr:from>
    <xdr:to>
      <xdr:col>22</xdr:col>
      <xdr:colOff>487438</xdr:colOff>
      <xdr:row>4</xdr:row>
      <xdr:rowOff>142718</xdr:rowOff>
    </xdr:to>
    <xdr:sp macro="" textlink="">
      <xdr:nvSpPr>
        <xdr:cNvPr id="42" name="Rectangle: Rounded Corners 41">
          <a:extLst>
            <a:ext uri="{FF2B5EF4-FFF2-40B4-BE49-F238E27FC236}">
              <a16:creationId xmlns:a16="http://schemas.microsoft.com/office/drawing/2014/main" id="{0FCB88FD-77F3-5CB4-CD89-D888C6F8EF34}"/>
            </a:ext>
          </a:extLst>
        </xdr:cNvPr>
        <xdr:cNvSpPr/>
      </xdr:nvSpPr>
      <xdr:spPr>
        <a:xfrm>
          <a:off x="13610774" y="656764"/>
          <a:ext cx="1245807" cy="235858"/>
        </a:xfrm>
        <a:prstGeom prst="roundRect">
          <a:avLst>
            <a:gd name="adj" fmla="val 12004"/>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18</xdr:col>
      <xdr:colOff>500745</xdr:colOff>
      <xdr:row>5</xdr:row>
      <xdr:rowOff>168114</xdr:rowOff>
    </xdr:from>
    <xdr:to>
      <xdr:col>20</xdr:col>
      <xdr:colOff>440266</xdr:colOff>
      <xdr:row>7</xdr:row>
      <xdr:rowOff>29020</xdr:rowOff>
    </xdr:to>
    <xdr:sp macro="" textlink="">
      <xdr:nvSpPr>
        <xdr:cNvPr id="43" name="Rectangle: Rounded Corners 42">
          <a:extLst>
            <a:ext uri="{FF2B5EF4-FFF2-40B4-BE49-F238E27FC236}">
              <a16:creationId xmlns:a16="http://schemas.microsoft.com/office/drawing/2014/main" id="{574B4D1E-9A5D-FA4F-9226-BE4222A4CDE4}"/>
            </a:ext>
          </a:extLst>
        </xdr:cNvPr>
        <xdr:cNvSpPr/>
      </xdr:nvSpPr>
      <xdr:spPr>
        <a:xfrm>
          <a:off x="12257316" y="1105495"/>
          <a:ext cx="1245807" cy="235858"/>
        </a:xfrm>
        <a:prstGeom prst="roundRect">
          <a:avLst>
            <a:gd name="adj" fmla="val 12004"/>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20</xdr:col>
      <xdr:colOff>556383</xdr:colOff>
      <xdr:row>5</xdr:row>
      <xdr:rowOff>145130</xdr:rowOff>
    </xdr:from>
    <xdr:to>
      <xdr:col>22</xdr:col>
      <xdr:colOff>495904</xdr:colOff>
      <xdr:row>7</xdr:row>
      <xdr:rowOff>6036</xdr:rowOff>
    </xdr:to>
    <xdr:sp macro="" textlink="">
      <xdr:nvSpPr>
        <xdr:cNvPr id="44" name="Rectangle: Rounded Corners 43">
          <a:extLst>
            <a:ext uri="{FF2B5EF4-FFF2-40B4-BE49-F238E27FC236}">
              <a16:creationId xmlns:a16="http://schemas.microsoft.com/office/drawing/2014/main" id="{BAD92F83-299B-2ED4-025F-2037DC1AB630}"/>
            </a:ext>
          </a:extLst>
        </xdr:cNvPr>
        <xdr:cNvSpPr/>
      </xdr:nvSpPr>
      <xdr:spPr>
        <a:xfrm>
          <a:off x="13619240" y="1082511"/>
          <a:ext cx="1245807" cy="235858"/>
        </a:xfrm>
        <a:prstGeom prst="roundRect">
          <a:avLst>
            <a:gd name="adj" fmla="val 12004"/>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148775</xdr:colOff>
      <xdr:row>8</xdr:row>
      <xdr:rowOff>185054</xdr:rowOff>
    </xdr:from>
    <xdr:to>
      <xdr:col>8</xdr:col>
      <xdr:colOff>247951</xdr:colOff>
      <xdr:row>18</xdr:row>
      <xdr:rowOff>36286</xdr:rowOff>
    </xdr:to>
    <xdr:sp macro="" textlink="">
      <xdr:nvSpPr>
        <xdr:cNvPr id="46" name="Rectangle: Rounded Corners 45">
          <a:extLst>
            <a:ext uri="{FF2B5EF4-FFF2-40B4-BE49-F238E27FC236}">
              <a16:creationId xmlns:a16="http://schemas.microsoft.com/office/drawing/2014/main" id="{5F8AC665-C0FA-988E-09C8-0AA95412ABB9}"/>
            </a:ext>
          </a:extLst>
        </xdr:cNvPr>
        <xdr:cNvSpPr/>
      </xdr:nvSpPr>
      <xdr:spPr>
        <a:xfrm>
          <a:off x="1455061" y="1684864"/>
          <a:ext cx="4018033" cy="1725993"/>
        </a:xfrm>
        <a:prstGeom prst="roundRect">
          <a:avLst>
            <a:gd name="adj" fmla="val 12004"/>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8</xdr:col>
      <xdr:colOff>331415</xdr:colOff>
      <xdr:row>9</xdr:row>
      <xdr:rowOff>16931</xdr:rowOff>
    </xdr:from>
    <xdr:to>
      <xdr:col>14</xdr:col>
      <xdr:colOff>388258</xdr:colOff>
      <xdr:row>18</xdr:row>
      <xdr:rowOff>55639</xdr:rowOff>
    </xdr:to>
    <xdr:sp macro="" textlink="">
      <xdr:nvSpPr>
        <xdr:cNvPr id="51" name="Rectangle: Rounded Corners 50">
          <a:extLst>
            <a:ext uri="{FF2B5EF4-FFF2-40B4-BE49-F238E27FC236}">
              <a16:creationId xmlns:a16="http://schemas.microsoft.com/office/drawing/2014/main" id="{F15ED4F0-B85E-A870-7548-3DF97272BFC7}"/>
            </a:ext>
          </a:extLst>
        </xdr:cNvPr>
        <xdr:cNvSpPr/>
      </xdr:nvSpPr>
      <xdr:spPr>
        <a:xfrm>
          <a:off x="5556558" y="1704217"/>
          <a:ext cx="3975700" cy="1725993"/>
        </a:xfrm>
        <a:prstGeom prst="roundRect">
          <a:avLst>
            <a:gd name="adj" fmla="val 12004"/>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14</xdr:col>
      <xdr:colOff>477763</xdr:colOff>
      <xdr:row>9</xdr:row>
      <xdr:rowOff>36284</xdr:rowOff>
    </xdr:from>
    <xdr:to>
      <xdr:col>22</xdr:col>
      <xdr:colOff>435428</xdr:colOff>
      <xdr:row>18</xdr:row>
      <xdr:rowOff>74992</xdr:rowOff>
    </xdr:to>
    <xdr:sp macro="" textlink="">
      <xdr:nvSpPr>
        <xdr:cNvPr id="52" name="Rectangle: Rounded Corners 51">
          <a:extLst>
            <a:ext uri="{FF2B5EF4-FFF2-40B4-BE49-F238E27FC236}">
              <a16:creationId xmlns:a16="http://schemas.microsoft.com/office/drawing/2014/main" id="{177676ED-3D86-963F-B659-1C6CA009269F}"/>
            </a:ext>
          </a:extLst>
        </xdr:cNvPr>
        <xdr:cNvSpPr/>
      </xdr:nvSpPr>
      <xdr:spPr>
        <a:xfrm>
          <a:off x="9621763" y="1723570"/>
          <a:ext cx="5182808" cy="1725993"/>
        </a:xfrm>
        <a:prstGeom prst="roundRect">
          <a:avLst>
            <a:gd name="adj" fmla="val 12004"/>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143936</xdr:colOff>
      <xdr:row>18</xdr:row>
      <xdr:rowOff>174170</xdr:rowOff>
    </xdr:from>
    <xdr:to>
      <xdr:col>9</xdr:col>
      <xdr:colOff>368903</xdr:colOff>
      <xdr:row>28</xdr:row>
      <xdr:rowOff>25401</xdr:rowOff>
    </xdr:to>
    <xdr:sp macro="" textlink="">
      <xdr:nvSpPr>
        <xdr:cNvPr id="53" name="Rectangle: Rounded Corners 52">
          <a:extLst>
            <a:ext uri="{FF2B5EF4-FFF2-40B4-BE49-F238E27FC236}">
              <a16:creationId xmlns:a16="http://schemas.microsoft.com/office/drawing/2014/main" id="{BCC7D7D4-045F-C6AB-310B-95E96FAFDFB1}"/>
            </a:ext>
          </a:extLst>
        </xdr:cNvPr>
        <xdr:cNvSpPr/>
      </xdr:nvSpPr>
      <xdr:spPr>
        <a:xfrm>
          <a:off x="1450222" y="3548741"/>
          <a:ext cx="4796967" cy="1725993"/>
        </a:xfrm>
        <a:prstGeom prst="roundRect">
          <a:avLst>
            <a:gd name="adj" fmla="val 12004"/>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120955</xdr:colOff>
      <xdr:row>29</xdr:row>
      <xdr:rowOff>30235</xdr:rowOff>
    </xdr:from>
    <xdr:to>
      <xdr:col>13</xdr:col>
      <xdr:colOff>133048</xdr:colOff>
      <xdr:row>38</xdr:row>
      <xdr:rowOff>68942</xdr:rowOff>
    </xdr:to>
    <xdr:sp macro="" textlink="">
      <xdr:nvSpPr>
        <xdr:cNvPr id="54" name="Rectangle: Rounded Corners 53">
          <a:extLst>
            <a:ext uri="{FF2B5EF4-FFF2-40B4-BE49-F238E27FC236}">
              <a16:creationId xmlns:a16="http://schemas.microsoft.com/office/drawing/2014/main" id="{4B5C1DF4-3F15-7F0E-EDB7-860739EDEFD8}"/>
            </a:ext>
          </a:extLst>
        </xdr:cNvPr>
        <xdr:cNvSpPr/>
      </xdr:nvSpPr>
      <xdr:spPr>
        <a:xfrm>
          <a:off x="1427241" y="5467045"/>
          <a:ext cx="7196664" cy="1725993"/>
        </a:xfrm>
        <a:prstGeom prst="roundRect">
          <a:avLst>
            <a:gd name="adj" fmla="val 12004"/>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9</xdr:col>
      <xdr:colOff>435432</xdr:colOff>
      <xdr:row>19</xdr:row>
      <xdr:rowOff>18142</xdr:rowOff>
    </xdr:from>
    <xdr:to>
      <xdr:col>15</xdr:col>
      <xdr:colOff>647095</xdr:colOff>
      <xdr:row>28</xdr:row>
      <xdr:rowOff>56850</xdr:rowOff>
    </xdr:to>
    <xdr:sp macro="" textlink="">
      <xdr:nvSpPr>
        <xdr:cNvPr id="55" name="Rectangle: Rounded Corners 54">
          <a:extLst>
            <a:ext uri="{FF2B5EF4-FFF2-40B4-BE49-F238E27FC236}">
              <a16:creationId xmlns:a16="http://schemas.microsoft.com/office/drawing/2014/main" id="{CE324E25-7BCD-5D6A-E9E4-CC31BEF7AC75}"/>
            </a:ext>
          </a:extLst>
        </xdr:cNvPr>
        <xdr:cNvSpPr/>
      </xdr:nvSpPr>
      <xdr:spPr>
        <a:xfrm>
          <a:off x="6313718" y="3580190"/>
          <a:ext cx="4130520" cy="1725993"/>
        </a:xfrm>
        <a:prstGeom prst="roundRect">
          <a:avLst>
            <a:gd name="adj" fmla="val 12004"/>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16</xdr:col>
      <xdr:colOff>84667</xdr:colOff>
      <xdr:row>19</xdr:row>
      <xdr:rowOff>25399</xdr:rowOff>
    </xdr:from>
    <xdr:to>
      <xdr:col>22</xdr:col>
      <xdr:colOff>436640</xdr:colOff>
      <xdr:row>28</xdr:row>
      <xdr:rowOff>64107</xdr:rowOff>
    </xdr:to>
    <xdr:sp macro="" textlink="">
      <xdr:nvSpPr>
        <xdr:cNvPr id="57" name="Rectangle: Rounded Corners 56">
          <a:extLst>
            <a:ext uri="{FF2B5EF4-FFF2-40B4-BE49-F238E27FC236}">
              <a16:creationId xmlns:a16="http://schemas.microsoft.com/office/drawing/2014/main" id="{9C8A03ED-EEF6-CE0C-E970-6D27D637C267}"/>
            </a:ext>
          </a:extLst>
        </xdr:cNvPr>
        <xdr:cNvSpPr/>
      </xdr:nvSpPr>
      <xdr:spPr>
        <a:xfrm>
          <a:off x="10534953" y="3587447"/>
          <a:ext cx="4270830" cy="1725993"/>
        </a:xfrm>
        <a:prstGeom prst="roundRect">
          <a:avLst>
            <a:gd name="adj" fmla="val 12004"/>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13</xdr:col>
      <xdr:colOff>272143</xdr:colOff>
      <xdr:row>29</xdr:row>
      <xdr:rowOff>31445</xdr:rowOff>
    </xdr:from>
    <xdr:to>
      <xdr:col>22</xdr:col>
      <xdr:colOff>412448</xdr:colOff>
      <xdr:row>38</xdr:row>
      <xdr:rowOff>70152</xdr:rowOff>
    </xdr:to>
    <xdr:sp macro="" textlink="">
      <xdr:nvSpPr>
        <xdr:cNvPr id="58" name="Rectangle: Rounded Corners 57">
          <a:extLst>
            <a:ext uri="{FF2B5EF4-FFF2-40B4-BE49-F238E27FC236}">
              <a16:creationId xmlns:a16="http://schemas.microsoft.com/office/drawing/2014/main" id="{CC0F8592-9995-33EF-53B2-8479FA8F77FF}"/>
            </a:ext>
          </a:extLst>
        </xdr:cNvPr>
        <xdr:cNvSpPr/>
      </xdr:nvSpPr>
      <xdr:spPr>
        <a:xfrm>
          <a:off x="8763000" y="5468255"/>
          <a:ext cx="6018591" cy="1725993"/>
        </a:xfrm>
        <a:prstGeom prst="roundRect">
          <a:avLst>
            <a:gd name="adj" fmla="val 12004"/>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182640</xdr:colOff>
      <xdr:row>0</xdr:row>
      <xdr:rowOff>139095</xdr:rowOff>
    </xdr:from>
    <xdr:to>
      <xdr:col>12</xdr:col>
      <xdr:colOff>187476</xdr:colOff>
      <xdr:row>2</xdr:row>
      <xdr:rowOff>84667</xdr:rowOff>
    </xdr:to>
    <xdr:sp macro="" textlink="">
      <xdr:nvSpPr>
        <xdr:cNvPr id="61" name="Rectangle: Rounded Corners 60">
          <a:extLst>
            <a:ext uri="{FF2B5EF4-FFF2-40B4-BE49-F238E27FC236}">
              <a16:creationId xmlns:a16="http://schemas.microsoft.com/office/drawing/2014/main" id="{DA078D3F-4B79-C2B8-2DAD-1D6726E2E39F}"/>
            </a:ext>
          </a:extLst>
        </xdr:cNvPr>
        <xdr:cNvSpPr/>
      </xdr:nvSpPr>
      <xdr:spPr>
        <a:xfrm>
          <a:off x="1488926" y="139095"/>
          <a:ext cx="6536264" cy="320524"/>
        </a:xfrm>
        <a:prstGeom prst="roundRect">
          <a:avLst>
            <a:gd name="adj" fmla="val 12004"/>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197305</xdr:colOff>
      <xdr:row>1</xdr:row>
      <xdr:rowOff>12</xdr:rowOff>
    </xdr:from>
    <xdr:to>
      <xdr:col>23</xdr:col>
      <xdr:colOff>53661</xdr:colOff>
      <xdr:row>39</xdr:row>
      <xdr:rowOff>133058</xdr:rowOff>
    </xdr:to>
    <xdr:sp macro="" textlink="">
      <xdr:nvSpPr>
        <xdr:cNvPr id="2" name="Rectangle: Rounded Corners 1">
          <a:extLst>
            <a:ext uri="{FF2B5EF4-FFF2-40B4-BE49-F238E27FC236}">
              <a16:creationId xmlns:a16="http://schemas.microsoft.com/office/drawing/2014/main" id="{0FE10CE8-60B3-4869-8F5B-D9FF205A1E40}"/>
            </a:ext>
          </a:extLst>
        </xdr:cNvPr>
        <xdr:cNvSpPr/>
      </xdr:nvSpPr>
      <xdr:spPr>
        <a:xfrm>
          <a:off x="197305" y="183708"/>
          <a:ext cx="14878642" cy="7113511"/>
        </a:xfrm>
        <a:prstGeom prst="roundRect">
          <a:avLst>
            <a:gd name="adj" fmla="val 1372"/>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329584</xdr:colOff>
      <xdr:row>1</xdr:row>
      <xdr:rowOff>60487</xdr:rowOff>
    </xdr:from>
    <xdr:to>
      <xdr:col>2</xdr:col>
      <xdr:colOff>190489</xdr:colOff>
      <xdr:row>39</xdr:row>
      <xdr:rowOff>90723</xdr:rowOff>
    </xdr:to>
    <xdr:sp macro="" textlink="">
      <xdr:nvSpPr>
        <xdr:cNvPr id="3" name="Rectangle: Rounded Corners 2">
          <a:extLst>
            <a:ext uri="{FF2B5EF4-FFF2-40B4-BE49-F238E27FC236}">
              <a16:creationId xmlns:a16="http://schemas.microsoft.com/office/drawing/2014/main" id="{82F4B669-719B-4EC2-B2B2-10A8DD5134F2}"/>
            </a:ext>
          </a:extLst>
        </xdr:cNvPr>
        <xdr:cNvSpPr/>
      </xdr:nvSpPr>
      <xdr:spPr>
        <a:xfrm>
          <a:off x="329584" y="244183"/>
          <a:ext cx="1167191" cy="7010701"/>
        </a:xfrm>
        <a:prstGeom prst="roundRect">
          <a:avLst>
            <a:gd name="adj" fmla="val 7924"/>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endParaRPr lang="en-NG" sz="1100"/>
        </a:p>
      </xdr:txBody>
    </xdr:sp>
    <xdr:clientData/>
  </xdr:twoCellAnchor>
  <xdr:twoCellAnchor>
    <xdr:from>
      <xdr:col>2</xdr:col>
      <xdr:colOff>313712</xdr:colOff>
      <xdr:row>3</xdr:row>
      <xdr:rowOff>139108</xdr:rowOff>
    </xdr:from>
    <xdr:to>
      <xdr:col>5</xdr:col>
      <xdr:colOff>95996</xdr:colOff>
      <xdr:row>8</xdr:row>
      <xdr:rowOff>108869</xdr:rowOff>
    </xdr:to>
    <xdr:sp macro="" textlink="">
      <xdr:nvSpPr>
        <xdr:cNvPr id="4" name="Rectangle: Rounded Corners 3">
          <a:extLst>
            <a:ext uri="{FF2B5EF4-FFF2-40B4-BE49-F238E27FC236}">
              <a16:creationId xmlns:a16="http://schemas.microsoft.com/office/drawing/2014/main" id="{04D17EBB-7CF0-4487-B3DA-B554824DEEBC}"/>
            </a:ext>
          </a:extLst>
        </xdr:cNvPr>
        <xdr:cNvSpPr/>
      </xdr:nvSpPr>
      <xdr:spPr>
        <a:xfrm>
          <a:off x="1619998" y="690197"/>
          <a:ext cx="1741712" cy="888243"/>
        </a:xfrm>
        <a:prstGeom prst="roundRect">
          <a:avLst>
            <a:gd name="adj" fmla="val 12004"/>
          </a:avLst>
        </a:prstGeom>
        <a:solidFill>
          <a:srgbClr val="084C2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5</xdr:col>
      <xdr:colOff>242350</xdr:colOff>
      <xdr:row>3</xdr:row>
      <xdr:rowOff>170556</xdr:rowOff>
    </xdr:from>
    <xdr:to>
      <xdr:col>8</xdr:col>
      <xdr:colOff>24633</xdr:colOff>
      <xdr:row>8</xdr:row>
      <xdr:rowOff>140317</xdr:rowOff>
    </xdr:to>
    <xdr:sp macro="" textlink="">
      <xdr:nvSpPr>
        <xdr:cNvPr id="5" name="Rectangle: Rounded Corners 4">
          <a:extLst>
            <a:ext uri="{FF2B5EF4-FFF2-40B4-BE49-F238E27FC236}">
              <a16:creationId xmlns:a16="http://schemas.microsoft.com/office/drawing/2014/main" id="{DEB522EB-FCFE-4CF0-A1F9-6566684FCA4F}"/>
            </a:ext>
          </a:extLst>
        </xdr:cNvPr>
        <xdr:cNvSpPr/>
      </xdr:nvSpPr>
      <xdr:spPr>
        <a:xfrm>
          <a:off x="3508064" y="721645"/>
          <a:ext cx="1741712" cy="888243"/>
        </a:xfrm>
        <a:prstGeom prst="roundRect">
          <a:avLst>
            <a:gd name="adj" fmla="val 12004"/>
          </a:avLst>
        </a:prstGeom>
        <a:solidFill>
          <a:srgbClr val="084C2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8</xdr:col>
      <xdr:colOff>164940</xdr:colOff>
      <xdr:row>4</xdr:row>
      <xdr:rowOff>164</xdr:rowOff>
    </xdr:from>
    <xdr:to>
      <xdr:col>10</xdr:col>
      <xdr:colOff>600366</xdr:colOff>
      <xdr:row>8</xdr:row>
      <xdr:rowOff>153622</xdr:rowOff>
    </xdr:to>
    <xdr:sp macro="" textlink="">
      <xdr:nvSpPr>
        <xdr:cNvPr id="6" name="Rectangle: Rounded Corners 5">
          <a:extLst>
            <a:ext uri="{FF2B5EF4-FFF2-40B4-BE49-F238E27FC236}">
              <a16:creationId xmlns:a16="http://schemas.microsoft.com/office/drawing/2014/main" id="{E0C751C1-A4AC-4378-BBE8-1FDD76427D90}"/>
            </a:ext>
          </a:extLst>
        </xdr:cNvPr>
        <xdr:cNvSpPr/>
      </xdr:nvSpPr>
      <xdr:spPr>
        <a:xfrm>
          <a:off x="5390083" y="734950"/>
          <a:ext cx="1741712" cy="888243"/>
        </a:xfrm>
        <a:prstGeom prst="roundRect">
          <a:avLst>
            <a:gd name="adj" fmla="val 12004"/>
          </a:avLst>
        </a:prstGeom>
        <a:solidFill>
          <a:srgbClr val="084C2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11</xdr:col>
      <xdr:colOff>87531</xdr:colOff>
      <xdr:row>4</xdr:row>
      <xdr:rowOff>9688</xdr:rowOff>
    </xdr:from>
    <xdr:to>
      <xdr:col>13</xdr:col>
      <xdr:colOff>522957</xdr:colOff>
      <xdr:row>8</xdr:row>
      <xdr:rowOff>166927</xdr:rowOff>
    </xdr:to>
    <xdr:sp macro="" textlink="">
      <xdr:nvSpPr>
        <xdr:cNvPr id="7" name="Rectangle: Rounded Corners 6">
          <a:extLst>
            <a:ext uri="{FF2B5EF4-FFF2-40B4-BE49-F238E27FC236}">
              <a16:creationId xmlns:a16="http://schemas.microsoft.com/office/drawing/2014/main" id="{2C7215ED-79B2-4F3F-8A5F-5D8379EE603F}"/>
            </a:ext>
          </a:extLst>
        </xdr:cNvPr>
        <xdr:cNvSpPr/>
      </xdr:nvSpPr>
      <xdr:spPr>
        <a:xfrm>
          <a:off x="7272102" y="744474"/>
          <a:ext cx="1741713" cy="892024"/>
        </a:xfrm>
        <a:prstGeom prst="roundRect">
          <a:avLst>
            <a:gd name="adj" fmla="val 12004"/>
          </a:avLst>
        </a:prstGeom>
        <a:solidFill>
          <a:srgbClr val="084C2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14</xdr:col>
      <xdr:colOff>10122</xdr:colOff>
      <xdr:row>4</xdr:row>
      <xdr:rowOff>22993</xdr:rowOff>
    </xdr:from>
    <xdr:to>
      <xdr:col>16</xdr:col>
      <xdr:colOff>445547</xdr:colOff>
      <xdr:row>8</xdr:row>
      <xdr:rowOff>180232</xdr:rowOff>
    </xdr:to>
    <xdr:sp macro="" textlink="">
      <xdr:nvSpPr>
        <xdr:cNvPr id="8" name="Rectangle: Rounded Corners 7">
          <a:extLst>
            <a:ext uri="{FF2B5EF4-FFF2-40B4-BE49-F238E27FC236}">
              <a16:creationId xmlns:a16="http://schemas.microsoft.com/office/drawing/2014/main" id="{AC583A59-986E-433A-BD40-1CC38940B920}"/>
            </a:ext>
          </a:extLst>
        </xdr:cNvPr>
        <xdr:cNvSpPr/>
      </xdr:nvSpPr>
      <xdr:spPr>
        <a:xfrm>
          <a:off x="9154122" y="757779"/>
          <a:ext cx="1741711" cy="892024"/>
        </a:xfrm>
        <a:prstGeom prst="roundRect">
          <a:avLst>
            <a:gd name="adj" fmla="val 12004"/>
          </a:avLst>
        </a:prstGeom>
        <a:solidFill>
          <a:srgbClr val="084C2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16</xdr:col>
      <xdr:colOff>555613</xdr:colOff>
      <xdr:row>4</xdr:row>
      <xdr:rowOff>60487</xdr:rowOff>
    </xdr:from>
    <xdr:to>
      <xdr:col>22</xdr:col>
      <xdr:colOff>634233</xdr:colOff>
      <xdr:row>8</xdr:row>
      <xdr:rowOff>175394</xdr:rowOff>
    </xdr:to>
    <xdr:sp macro="" textlink="">
      <xdr:nvSpPr>
        <xdr:cNvPr id="9" name="Rectangle: Rounded Corners 8">
          <a:extLst>
            <a:ext uri="{FF2B5EF4-FFF2-40B4-BE49-F238E27FC236}">
              <a16:creationId xmlns:a16="http://schemas.microsoft.com/office/drawing/2014/main" id="{E4FDECF7-2949-4E55-BC6E-477F50D2AF8E}"/>
            </a:ext>
          </a:extLst>
        </xdr:cNvPr>
        <xdr:cNvSpPr/>
      </xdr:nvSpPr>
      <xdr:spPr>
        <a:xfrm>
          <a:off x="11005899" y="795273"/>
          <a:ext cx="3997477" cy="849692"/>
        </a:xfrm>
        <a:prstGeom prst="roundRect">
          <a:avLst>
            <a:gd name="adj" fmla="val 12004"/>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343191</xdr:colOff>
      <xdr:row>1</xdr:row>
      <xdr:rowOff>68048</xdr:rowOff>
    </xdr:from>
    <xdr:to>
      <xdr:col>11</xdr:col>
      <xdr:colOff>204107</xdr:colOff>
      <xdr:row>3</xdr:row>
      <xdr:rowOff>88447</xdr:rowOff>
    </xdr:to>
    <xdr:sp macro="" textlink="">
      <xdr:nvSpPr>
        <xdr:cNvPr id="10" name="TextBox 9">
          <a:extLst>
            <a:ext uri="{FF2B5EF4-FFF2-40B4-BE49-F238E27FC236}">
              <a16:creationId xmlns:a16="http://schemas.microsoft.com/office/drawing/2014/main" id="{BDF3CA66-147A-4BB0-BC02-30FED257AB09}"/>
            </a:ext>
          </a:extLst>
        </xdr:cNvPr>
        <xdr:cNvSpPr txBox="1"/>
      </xdr:nvSpPr>
      <xdr:spPr>
        <a:xfrm>
          <a:off x="1649477" y="251744"/>
          <a:ext cx="5739201" cy="3877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200" b="1">
              <a:solidFill>
                <a:srgbClr val="084C2C"/>
              </a:solidFill>
              <a:latin typeface="Arial Narrow" panose="020B0606020202030204" pitchFamily="34" charset="0"/>
            </a:rPr>
            <a:t>Cach Superstore Sales</a:t>
          </a:r>
          <a:r>
            <a:rPr lang="en-US" sz="2200" b="1" baseline="0">
              <a:solidFill>
                <a:srgbClr val="084C2C"/>
              </a:solidFill>
              <a:latin typeface="Arial Narrow" panose="020B0606020202030204" pitchFamily="34" charset="0"/>
            </a:rPr>
            <a:t> and Profitability Analysis</a:t>
          </a:r>
          <a:endParaRPr lang="en-NG" sz="2200" b="1">
            <a:solidFill>
              <a:srgbClr val="084C2C"/>
            </a:solidFill>
            <a:latin typeface="Arial Narrow" panose="020B0606020202030204" pitchFamily="34" charset="0"/>
          </a:endParaRPr>
        </a:p>
      </xdr:txBody>
    </xdr:sp>
    <xdr:clientData/>
  </xdr:twoCellAnchor>
  <xdr:twoCellAnchor>
    <xdr:from>
      <xdr:col>2</xdr:col>
      <xdr:colOff>295566</xdr:colOff>
      <xdr:row>9</xdr:row>
      <xdr:rowOff>79379</xdr:rowOff>
    </xdr:from>
    <xdr:to>
      <xdr:col>10</xdr:col>
      <xdr:colOff>331853</xdr:colOff>
      <xdr:row>23</xdr:row>
      <xdr:rowOff>30997</xdr:rowOff>
    </xdr:to>
    <xdr:graphicFrame macro="">
      <xdr:nvGraphicFramePr>
        <xdr:cNvPr id="11" name="Chart 10">
          <a:extLst>
            <a:ext uri="{FF2B5EF4-FFF2-40B4-BE49-F238E27FC236}">
              <a16:creationId xmlns:a16="http://schemas.microsoft.com/office/drawing/2014/main" id="{402F7220-36F9-4ADC-B394-8235EA65A0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385069</xdr:colOff>
      <xdr:row>9</xdr:row>
      <xdr:rowOff>111883</xdr:rowOff>
    </xdr:from>
    <xdr:to>
      <xdr:col>15</xdr:col>
      <xdr:colOff>168566</xdr:colOff>
      <xdr:row>23</xdr:row>
      <xdr:rowOff>30996</xdr:rowOff>
    </xdr:to>
    <xdr:graphicFrame macro="">
      <xdr:nvGraphicFramePr>
        <xdr:cNvPr id="12" name="Chart 11">
          <a:extLst>
            <a:ext uri="{FF2B5EF4-FFF2-40B4-BE49-F238E27FC236}">
              <a16:creationId xmlns:a16="http://schemas.microsoft.com/office/drawing/2014/main" id="{8EB67FC7-893A-4728-A73D-FA0F130247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241139</xdr:colOff>
      <xdr:row>9</xdr:row>
      <xdr:rowOff>130030</xdr:rowOff>
    </xdr:from>
    <xdr:to>
      <xdr:col>22</xdr:col>
      <xdr:colOff>603996</xdr:colOff>
      <xdr:row>23</xdr:row>
      <xdr:rowOff>18904</xdr:rowOff>
    </xdr:to>
    <xdr:graphicFrame macro="">
      <xdr:nvGraphicFramePr>
        <xdr:cNvPr id="13" name="Chart 12">
          <a:extLst>
            <a:ext uri="{FF2B5EF4-FFF2-40B4-BE49-F238E27FC236}">
              <a16:creationId xmlns:a16="http://schemas.microsoft.com/office/drawing/2014/main" id="{036022D0-71F8-4E2B-BEC9-B595BFC624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404424</xdr:colOff>
      <xdr:row>23</xdr:row>
      <xdr:rowOff>170089</xdr:rowOff>
    </xdr:from>
    <xdr:to>
      <xdr:col>13</xdr:col>
      <xdr:colOff>422566</xdr:colOff>
      <xdr:row>39</xdr:row>
      <xdr:rowOff>18908</xdr:rowOff>
    </xdr:to>
    <xdr:graphicFrame macro="">
      <xdr:nvGraphicFramePr>
        <xdr:cNvPr id="14" name="Chart 13">
          <a:extLst>
            <a:ext uri="{FF2B5EF4-FFF2-40B4-BE49-F238E27FC236}">
              <a16:creationId xmlns:a16="http://schemas.microsoft.com/office/drawing/2014/main" id="{548B213C-0FF1-45FB-9944-DBEB07DE98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525375</xdr:colOff>
      <xdr:row>23</xdr:row>
      <xdr:rowOff>176892</xdr:rowOff>
    </xdr:from>
    <xdr:to>
      <xdr:col>18</xdr:col>
      <xdr:colOff>89947</xdr:colOff>
      <xdr:row>38</xdr:row>
      <xdr:rowOff>178411</xdr:rowOff>
    </xdr:to>
    <xdr:graphicFrame macro="">
      <xdr:nvGraphicFramePr>
        <xdr:cNvPr id="15" name="Chart 14">
          <a:extLst>
            <a:ext uri="{FF2B5EF4-FFF2-40B4-BE49-F238E27FC236}">
              <a16:creationId xmlns:a16="http://schemas.microsoft.com/office/drawing/2014/main" id="{861190E3-FBD0-4564-BEE3-F7535F1F72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168566</xdr:colOff>
      <xdr:row>24</xdr:row>
      <xdr:rowOff>13608</xdr:rowOff>
    </xdr:from>
    <xdr:to>
      <xdr:col>22</xdr:col>
      <xdr:colOff>603993</xdr:colOff>
      <xdr:row>38</xdr:row>
      <xdr:rowOff>160270</xdr:rowOff>
    </xdr:to>
    <xdr:sp macro="" textlink="">
      <xdr:nvSpPr>
        <xdr:cNvPr id="16" name="Rectangle: Rounded Corners 15">
          <a:extLst>
            <a:ext uri="{FF2B5EF4-FFF2-40B4-BE49-F238E27FC236}">
              <a16:creationId xmlns:a16="http://schemas.microsoft.com/office/drawing/2014/main" id="{C5DA1C3C-2716-4924-8D3A-D3C973E8BED5}"/>
            </a:ext>
          </a:extLst>
        </xdr:cNvPr>
        <xdr:cNvSpPr/>
      </xdr:nvSpPr>
      <xdr:spPr>
        <a:xfrm>
          <a:off x="11925137" y="4422322"/>
          <a:ext cx="3047999" cy="2718412"/>
        </a:xfrm>
        <a:prstGeom prst="roundRect">
          <a:avLst>
            <a:gd name="adj" fmla="val 4099"/>
          </a:avLst>
        </a:prstGeom>
        <a:solidFill>
          <a:schemeClr val="bg1"/>
        </a:solidFill>
        <a:ln>
          <a:noFill/>
        </a:ln>
        <a:effectLst>
          <a:outerShdw blurRad="50800" dist="38100" dir="2700000" algn="tl" rotWithShape="0">
            <a:srgbClr val="084C2C">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endParaRPr lang="en-NG" sz="1100"/>
        </a:p>
      </xdr:txBody>
    </xdr:sp>
    <xdr:clientData/>
  </xdr:twoCellAnchor>
  <xdr:twoCellAnchor>
    <xdr:from>
      <xdr:col>18</xdr:col>
      <xdr:colOff>277423</xdr:colOff>
      <xdr:row>25</xdr:row>
      <xdr:rowOff>175392</xdr:rowOff>
    </xdr:from>
    <xdr:to>
      <xdr:col>22</xdr:col>
      <xdr:colOff>464898</xdr:colOff>
      <xdr:row>38</xdr:row>
      <xdr:rowOff>127011</xdr:rowOff>
    </xdr:to>
    <mc:AlternateContent xmlns:mc="http://schemas.openxmlformats.org/markup-compatibility/2006">
      <mc:Choice xmlns:cx1="http://schemas.microsoft.com/office/drawing/2015/9/8/chartex" Requires="cx1">
        <xdr:graphicFrame macro="">
          <xdr:nvGraphicFramePr>
            <xdr:cNvPr id="17" name="Chart 16">
              <a:extLst>
                <a:ext uri="{FF2B5EF4-FFF2-40B4-BE49-F238E27FC236}">
                  <a16:creationId xmlns:a16="http://schemas.microsoft.com/office/drawing/2014/main" id="{B621B175-CFD5-47AC-AA74-16443C4EFCE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2033994" y="4801821"/>
              <a:ext cx="2800047" cy="2357361"/>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241138</xdr:colOff>
      <xdr:row>24</xdr:row>
      <xdr:rowOff>90726</xdr:rowOff>
    </xdr:from>
    <xdr:to>
      <xdr:col>21</xdr:col>
      <xdr:colOff>186709</xdr:colOff>
      <xdr:row>25</xdr:row>
      <xdr:rowOff>108867</xdr:rowOff>
    </xdr:to>
    <xdr:sp macro="" textlink="">
      <xdr:nvSpPr>
        <xdr:cNvPr id="18" name="TextBox 17">
          <a:extLst>
            <a:ext uri="{FF2B5EF4-FFF2-40B4-BE49-F238E27FC236}">
              <a16:creationId xmlns:a16="http://schemas.microsoft.com/office/drawing/2014/main" id="{84AA82E4-1191-4283-80A8-586C36199E8E}"/>
            </a:ext>
          </a:extLst>
        </xdr:cNvPr>
        <xdr:cNvSpPr txBox="1"/>
      </xdr:nvSpPr>
      <xdr:spPr>
        <a:xfrm>
          <a:off x="11997709" y="4499440"/>
          <a:ext cx="1905000" cy="201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084C2C"/>
              </a:solidFill>
              <a:latin typeface="Arial Narrow" panose="020B0606020202030204" pitchFamily="34" charset="0"/>
            </a:rPr>
            <a:t>Top 6 Ship Cities </a:t>
          </a:r>
          <a:r>
            <a:rPr lang="en-US" sz="1000" b="0" i="1" baseline="0">
              <a:solidFill>
                <a:srgbClr val="084C2C"/>
              </a:solidFill>
              <a:latin typeface="Arial Narrow" panose="020B0606020202030204" pitchFamily="34" charset="0"/>
            </a:rPr>
            <a:t>by Revenue</a:t>
          </a:r>
          <a:endParaRPr lang="en-NG" sz="1000" b="0" i="1">
            <a:solidFill>
              <a:srgbClr val="084C2C"/>
            </a:solidFill>
            <a:latin typeface="Arial Narrow" panose="020B0606020202030204" pitchFamily="34" charset="0"/>
          </a:endParaRPr>
        </a:p>
      </xdr:txBody>
    </xdr:sp>
    <xdr:clientData/>
  </xdr:twoCellAnchor>
  <xdr:twoCellAnchor>
    <xdr:from>
      <xdr:col>2</xdr:col>
      <xdr:colOff>284679</xdr:colOff>
      <xdr:row>24</xdr:row>
      <xdr:rowOff>0</xdr:rowOff>
    </xdr:from>
    <xdr:to>
      <xdr:col>6</xdr:col>
      <xdr:colOff>313709</xdr:colOff>
      <xdr:row>38</xdr:row>
      <xdr:rowOff>161480</xdr:rowOff>
    </xdr:to>
    <xdr:sp macro="" textlink="">
      <xdr:nvSpPr>
        <xdr:cNvPr id="19" name="Rectangle: Rounded Corners 18">
          <a:extLst>
            <a:ext uri="{FF2B5EF4-FFF2-40B4-BE49-F238E27FC236}">
              <a16:creationId xmlns:a16="http://schemas.microsoft.com/office/drawing/2014/main" id="{D8BD2961-3BD2-45A0-8606-2D69D4838A6D}"/>
            </a:ext>
          </a:extLst>
        </xdr:cNvPr>
        <xdr:cNvSpPr/>
      </xdr:nvSpPr>
      <xdr:spPr>
        <a:xfrm>
          <a:off x="1590965" y="4408714"/>
          <a:ext cx="2641602" cy="2733230"/>
        </a:xfrm>
        <a:prstGeom prst="roundRect">
          <a:avLst>
            <a:gd name="adj" fmla="val 4099"/>
          </a:avLst>
        </a:prstGeom>
        <a:solidFill>
          <a:schemeClr val="bg1"/>
        </a:solidFill>
        <a:ln>
          <a:noFill/>
        </a:ln>
        <a:effectLst>
          <a:outerShdw blurRad="50800" dist="38100" dir="2700000" algn="tl" rotWithShape="0">
            <a:srgbClr val="084C2C">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endParaRPr lang="en-NG" sz="1100"/>
        </a:p>
      </xdr:txBody>
    </xdr:sp>
    <xdr:clientData/>
  </xdr:twoCellAnchor>
  <xdr:twoCellAnchor>
    <xdr:from>
      <xdr:col>2</xdr:col>
      <xdr:colOff>302822</xdr:colOff>
      <xdr:row>26</xdr:row>
      <xdr:rowOff>48392</xdr:rowOff>
    </xdr:from>
    <xdr:to>
      <xdr:col>6</xdr:col>
      <xdr:colOff>241138</xdr:colOff>
      <xdr:row>38</xdr:row>
      <xdr:rowOff>176939</xdr:rowOff>
    </xdr:to>
    <mc:AlternateContent xmlns:mc="http://schemas.openxmlformats.org/markup-compatibility/2006">
      <mc:Choice xmlns:cx4="http://schemas.microsoft.com/office/drawing/2016/5/10/chartex" Requires="cx4">
        <xdr:graphicFrame macro="">
          <xdr:nvGraphicFramePr>
            <xdr:cNvPr id="20" name="Chart 19">
              <a:extLst>
                <a:ext uri="{FF2B5EF4-FFF2-40B4-BE49-F238E27FC236}">
                  <a16:creationId xmlns:a16="http://schemas.microsoft.com/office/drawing/2014/main" id="{41770997-21A5-4F0A-8696-10E5B5DC787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609108" y="4859878"/>
              <a:ext cx="2550887" cy="2349232"/>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392327</xdr:colOff>
      <xdr:row>24</xdr:row>
      <xdr:rowOff>54429</xdr:rowOff>
    </xdr:from>
    <xdr:to>
      <xdr:col>6</xdr:col>
      <xdr:colOff>204851</xdr:colOff>
      <xdr:row>25</xdr:row>
      <xdr:rowOff>139105</xdr:rowOff>
    </xdr:to>
    <xdr:sp macro="" textlink="">
      <xdr:nvSpPr>
        <xdr:cNvPr id="21" name="TextBox 20">
          <a:extLst>
            <a:ext uri="{FF2B5EF4-FFF2-40B4-BE49-F238E27FC236}">
              <a16:creationId xmlns:a16="http://schemas.microsoft.com/office/drawing/2014/main" id="{3ABDA84A-A129-4CB2-A69B-1B0F47683FB7}"/>
            </a:ext>
          </a:extLst>
        </xdr:cNvPr>
        <xdr:cNvSpPr txBox="1"/>
      </xdr:nvSpPr>
      <xdr:spPr>
        <a:xfrm>
          <a:off x="1698613" y="4463143"/>
          <a:ext cx="2425096" cy="2683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084C2C"/>
              </a:solidFill>
              <a:latin typeface="Arial Narrow" panose="020B0606020202030204" pitchFamily="34" charset="0"/>
            </a:rPr>
            <a:t>State</a:t>
          </a:r>
          <a:r>
            <a:rPr lang="en-US" sz="1400" b="1" baseline="0">
              <a:solidFill>
                <a:srgbClr val="084C2C"/>
              </a:solidFill>
              <a:latin typeface="Arial Narrow" panose="020B0606020202030204" pitchFamily="34" charset="0"/>
            </a:rPr>
            <a:t> Performance </a:t>
          </a:r>
          <a:r>
            <a:rPr lang="en-US" sz="1200" b="0" i="1" baseline="0">
              <a:solidFill>
                <a:srgbClr val="084C2C"/>
              </a:solidFill>
              <a:latin typeface="Arial Narrow" panose="020B0606020202030204" pitchFamily="34" charset="0"/>
            </a:rPr>
            <a:t>by Revenue</a:t>
          </a:r>
          <a:endParaRPr lang="en-NG" sz="1200" b="0" i="1">
            <a:solidFill>
              <a:srgbClr val="084C2C"/>
            </a:solidFill>
            <a:latin typeface="Arial Narrow" panose="020B0606020202030204" pitchFamily="34" charset="0"/>
          </a:endParaRPr>
        </a:p>
      </xdr:txBody>
    </xdr:sp>
    <xdr:clientData/>
  </xdr:twoCellAnchor>
  <xdr:twoCellAnchor editAs="oneCell">
    <xdr:from>
      <xdr:col>0</xdr:col>
      <xdr:colOff>557126</xdr:colOff>
      <xdr:row>26</xdr:row>
      <xdr:rowOff>124737</xdr:rowOff>
    </xdr:from>
    <xdr:to>
      <xdr:col>1</xdr:col>
      <xdr:colOff>526888</xdr:colOff>
      <xdr:row>30</xdr:row>
      <xdr:rowOff>1516</xdr:rowOff>
    </xdr:to>
    <xdr:pic>
      <xdr:nvPicPr>
        <xdr:cNvPr id="22" name="Graphic 21" descr="Bar graph with upward trend with solid fill">
          <a:extLst>
            <a:ext uri="{FF2B5EF4-FFF2-40B4-BE49-F238E27FC236}">
              <a16:creationId xmlns:a16="http://schemas.microsoft.com/office/drawing/2014/main" id="{21E51B27-9FDE-4B4D-9F64-DF9D061903E2}"/>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557126" y="4900845"/>
          <a:ext cx="622905" cy="611564"/>
        </a:xfrm>
        <a:prstGeom prst="rect">
          <a:avLst/>
        </a:prstGeom>
      </xdr:spPr>
    </xdr:pic>
    <xdr:clientData/>
  </xdr:twoCellAnchor>
  <xdr:twoCellAnchor editAs="oneCell">
    <xdr:from>
      <xdr:col>0</xdr:col>
      <xdr:colOff>575270</xdr:colOff>
      <xdr:row>9</xdr:row>
      <xdr:rowOff>53676</xdr:rowOff>
    </xdr:from>
    <xdr:to>
      <xdr:col>1</xdr:col>
      <xdr:colOff>544927</xdr:colOff>
      <xdr:row>12</xdr:row>
      <xdr:rowOff>114048</xdr:rowOff>
    </xdr:to>
    <xdr:pic>
      <xdr:nvPicPr>
        <xdr:cNvPr id="23" name="Graphic 22" descr="Person with idea with solid fill">
          <a:extLst>
            <a:ext uri="{FF2B5EF4-FFF2-40B4-BE49-F238E27FC236}">
              <a16:creationId xmlns:a16="http://schemas.microsoft.com/office/drawing/2014/main" id="{89A97574-95B9-4D50-966A-9E5F04288997}"/>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575270" y="1706944"/>
          <a:ext cx="622800" cy="611462"/>
        </a:xfrm>
        <a:prstGeom prst="rect">
          <a:avLst/>
        </a:prstGeom>
      </xdr:spPr>
    </xdr:pic>
    <xdr:clientData/>
  </xdr:twoCellAnchor>
  <xdr:twoCellAnchor editAs="oneCell">
    <xdr:from>
      <xdr:col>0</xdr:col>
      <xdr:colOff>575269</xdr:colOff>
      <xdr:row>15</xdr:row>
      <xdr:rowOff>20418</xdr:rowOff>
    </xdr:from>
    <xdr:to>
      <xdr:col>1</xdr:col>
      <xdr:colOff>544926</xdr:colOff>
      <xdr:row>18</xdr:row>
      <xdr:rowOff>80790</xdr:rowOff>
    </xdr:to>
    <xdr:pic>
      <xdr:nvPicPr>
        <xdr:cNvPr id="24" name="Graphic 23" descr="Magnifying glass with solid fill">
          <a:extLst>
            <a:ext uri="{FF2B5EF4-FFF2-40B4-BE49-F238E27FC236}">
              <a16:creationId xmlns:a16="http://schemas.microsoft.com/office/drawing/2014/main" id="{CA6C8FF2-2B1E-4A73-B934-AA1B9F06DB5D}"/>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575269" y="2775864"/>
          <a:ext cx="622800" cy="611462"/>
        </a:xfrm>
        <a:prstGeom prst="rect">
          <a:avLst/>
        </a:prstGeom>
      </xdr:spPr>
    </xdr:pic>
    <xdr:clientData/>
  </xdr:twoCellAnchor>
  <xdr:twoCellAnchor editAs="oneCell">
    <xdr:from>
      <xdr:col>0</xdr:col>
      <xdr:colOff>557126</xdr:colOff>
      <xdr:row>32</xdr:row>
      <xdr:rowOff>138344</xdr:rowOff>
    </xdr:from>
    <xdr:to>
      <xdr:col>1</xdr:col>
      <xdr:colOff>526783</xdr:colOff>
      <xdr:row>36</xdr:row>
      <xdr:rowOff>15019</xdr:rowOff>
    </xdr:to>
    <xdr:pic>
      <xdr:nvPicPr>
        <xdr:cNvPr id="25" name="Graphic 24" descr="List with solid fill">
          <a:extLst>
            <a:ext uri="{FF2B5EF4-FFF2-40B4-BE49-F238E27FC236}">
              <a16:creationId xmlns:a16="http://schemas.microsoft.com/office/drawing/2014/main" id="{4AC1C955-0564-4AF9-AB36-E94684D6F959}"/>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557126" y="6016630"/>
          <a:ext cx="622800" cy="611460"/>
        </a:xfrm>
        <a:prstGeom prst="rect">
          <a:avLst/>
        </a:prstGeom>
      </xdr:spPr>
    </xdr:pic>
    <xdr:clientData/>
  </xdr:twoCellAnchor>
  <xdr:twoCellAnchor editAs="oneCell">
    <xdr:from>
      <xdr:col>0</xdr:col>
      <xdr:colOff>561983</xdr:colOff>
      <xdr:row>3</xdr:row>
      <xdr:rowOff>96331</xdr:rowOff>
    </xdr:from>
    <xdr:to>
      <xdr:col>1</xdr:col>
      <xdr:colOff>531640</xdr:colOff>
      <xdr:row>6</xdr:row>
      <xdr:rowOff>156703</xdr:rowOff>
    </xdr:to>
    <xdr:pic>
      <xdr:nvPicPr>
        <xdr:cNvPr id="26" name="Graphic 25" descr="Teacher with solid fill">
          <a:extLst>
            <a:ext uri="{FF2B5EF4-FFF2-40B4-BE49-F238E27FC236}">
              <a16:creationId xmlns:a16="http://schemas.microsoft.com/office/drawing/2014/main" id="{368ECDD6-76AA-45F9-B26C-08AE2DA1EA9D}"/>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561983" y="647420"/>
          <a:ext cx="622800" cy="611462"/>
        </a:xfrm>
        <a:prstGeom prst="rect">
          <a:avLst/>
        </a:prstGeom>
      </xdr:spPr>
    </xdr:pic>
    <xdr:clientData/>
  </xdr:twoCellAnchor>
  <xdr:twoCellAnchor editAs="oneCell">
    <xdr:from>
      <xdr:col>0</xdr:col>
      <xdr:colOff>554746</xdr:colOff>
      <xdr:row>20</xdr:row>
      <xdr:rowOff>168473</xdr:rowOff>
    </xdr:from>
    <xdr:to>
      <xdr:col>1</xdr:col>
      <xdr:colOff>524403</xdr:colOff>
      <xdr:row>24</xdr:row>
      <xdr:rowOff>45148</xdr:rowOff>
    </xdr:to>
    <xdr:pic>
      <xdr:nvPicPr>
        <xdr:cNvPr id="27" name="Graphic 26" descr="Thumbs up sign with solid fill">
          <a:extLst>
            <a:ext uri="{FF2B5EF4-FFF2-40B4-BE49-F238E27FC236}">
              <a16:creationId xmlns:a16="http://schemas.microsoft.com/office/drawing/2014/main" id="{EC47A6FB-7F61-4128-B4AB-C2926F5D3372}"/>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554746" y="3842402"/>
          <a:ext cx="622800" cy="611460"/>
        </a:xfrm>
        <a:prstGeom prst="rect">
          <a:avLst/>
        </a:prstGeom>
      </xdr:spPr>
    </xdr:pic>
    <xdr:clientData/>
  </xdr:twoCellAnchor>
  <xdr:twoCellAnchor>
    <xdr:from>
      <xdr:col>0</xdr:col>
      <xdr:colOff>490604</xdr:colOff>
      <xdr:row>6</xdr:row>
      <xdr:rowOff>40078</xdr:rowOff>
    </xdr:from>
    <xdr:to>
      <xdr:col>2</xdr:col>
      <xdr:colOff>79364</xdr:colOff>
      <xdr:row>7</xdr:row>
      <xdr:rowOff>112649</xdr:rowOff>
    </xdr:to>
    <xdr:sp macro="" textlink="">
      <xdr:nvSpPr>
        <xdr:cNvPr id="28" name="TextBox 27">
          <a:extLst>
            <a:ext uri="{FF2B5EF4-FFF2-40B4-BE49-F238E27FC236}">
              <a16:creationId xmlns:a16="http://schemas.microsoft.com/office/drawing/2014/main" id="{ED480ED6-E5D6-4C3A-9411-099BF80C8461}"/>
            </a:ext>
          </a:extLst>
        </xdr:cNvPr>
        <xdr:cNvSpPr txBox="1"/>
      </xdr:nvSpPr>
      <xdr:spPr>
        <a:xfrm>
          <a:off x="490604" y="1142257"/>
          <a:ext cx="895046" cy="2562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084C2C"/>
              </a:solidFill>
              <a:latin typeface="Arial Narrow" panose="020B0606020202030204" pitchFamily="34" charset="0"/>
            </a:rPr>
            <a:t>Pre-Analysis</a:t>
          </a:r>
          <a:endParaRPr lang="en-NG" sz="1100" b="1">
            <a:solidFill>
              <a:srgbClr val="084C2C"/>
            </a:solidFill>
            <a:latin typeface="Arial Narrow" panose="020B0606020202030204" pitchFamily="34" charset="0"/>
          </a:endParaRPr>
        </a:p>
      </xdr:txBody>
    </xdr:sp>
    <xdr:clientData/>
  </xdr:twoCellAnchor>
  <xdr:twoCellAnchor>
    <xdr:from>
      <xdr:col>0</xdr:col>
      <xdr:colOff>467624</xdr:colOff>
      <xdr:row>12</xdr:row>
      <xdr:rowOff>85877</xdr:rowOff>
    </xdr:from>
    <xdr:to>
      <xdr:col>2</xdr:col>
      <xdr:colOff>56384</xdr:colOff>
      <xdr:row>13</xdr:row>
      <xdr:rowOff>158448</xdr:rowOff>
    </xdr:to>
    <xdr:sp macro="" textlink="">
      <xdr:nvSpPr>
        <xdr:cNvPr id="29" name="TextBox 28">
          <a:extLst>
            <a:ext uri="{FF2B5EF4-FFF2-40B4-BE49-F238E27FC236}">
              <a16:creationId xmlns:a16="http://schemas.microsoft.com/office/drawing/2014/main" id="{D7621D7F-8F2C-4314-A87E-69E13CA8459D}"/>
            </a:ext>
          </a:extLst>
        </xdr:cNvPr>
        <xdr:cNvSpPr txBox="1"/>
      </xdr:nvSpPr>
      <xdr:spPr>
        <a:xfrm>
          <a:off x="467624" y="2290235"/>
          <a:ext cx="895046" cy="2562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084C2C"/>
              </a:solidFill>
              <a:latin typeface="Arial Narrow" panose="020B0606020202030204" pitchFamily="34" charset="0"/>
            </a:rPr>
            <a:t>In-Analysis</a:t>
          </a:r>
          <a:endParaRPr lang="en-NG" sz="1100" b="1">
            <a:solidFill>
              <a:srgbClr val="084C2C"/>
            </a:solidFill>
            <a:latin typeface="Arial Narrow" panose="020B0606020202030204" pitchFamily="34" charset="0"/>
          </a:endParaRPr>
        </a:p>
      </xdr:txBody>
    </xdr:sp>
    <xdr:clientData/>
  </xdr:twoCellAnchor>
  <xdr:twoCellAnchor>
    <xdr:from>
      <xdr:col>0</xdr:col>
      <xdr:colOff>486977</xdr:colOff>
      <xdr:row>18</xdr:row>
      <xdr:rowOff>34171</xdr:rowOff>
    </xdr:from>
    <xdr:to>
      <xdr:col>2</xdr:col>
      <xdr:colOff>75737</xdr:colOff>
      <xdr:row>19</xdr:row>
      <xdr:rowOff>106741</xdr:rowOff>
    </xdr:to>
    <xdr:sp macro="" textlink="">
      <xdr:nvSpPr>
        <xdr:cNvPr id="30" name="TextBox 29">
          <a:extLst>
            <a:ext uri="{FF2B5EF4-FFF2-40B4-BE49-F238E27FC236}">
              <a16:creationId xmlns:a16="http://schemas.microsoft.com/office/drawing/2014/main" id="{08B8561C-8C51-4BB8-BA60-6081C1333761}"/>
            </a:ext>
          </a:extLst>
        </xdr:cNvPr>
        <xdr:cNvSpPr txBox="1"/>
      </xdr:nvSpPr>
      <xdr:spPr>
        <a:xfrm>
          <a:off x="486977" y="3340707"/>
          <a:ext cx="895046" cy="2562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084C2C"/>
              </a:solidFill>
              <a:latin typeface="Arial Narrow" panose="020B0606020202030204" pitchFamily="34" charset="0"/>
            </a:rPr>
            <a:t>Observation</a:t>
          </a:r>
          <a:endParaRPr lang="en-NG" sz="1100" b="1">
            <a:solidFill>
              <a:srgbClr val="084C2C"/>
            </a:solidFill>
            <a:latin typeface="Arial Narrow" panose="020B0606020202030204" pitchFamily="34" charset="0"/>
          </a:endParaRPr>
        </a:p>
      </xdr:txBody>
    </xdr:sp>
    <xdr:clientData/>
  </xdr:twoCellAnchor>
  <xdr:twoCellAnchor>
    <xdr:from>
      <xdr:col>0</xdr:col>
      <xdr:colOff>278936</xdr:colOff>
      <xdr:row>23</xdr:row>
      <xdr:rowOff>173875</xdr:rowOff>
    </xdr:from>
    <xdr:to>
      <xdr:col>2</xdr:col>
      <xdr:colOff>194269</xdr:colOff>
      <xdr:row>25</xdr:row>
      <xdr:rowOff>95257</xdr:rowOff>
    </xdr:to>
    <xdr:sp macro="" textlink="">
      <xdr:nvSpPr>
        <xdr:cNvPr id="31" name="TextBox 30">
          <a:extLst>
            <a:ext uri="{FF2B5EF4-FFF2-40B4-BE49-F238E27FC236}">
              <a16:creationId xmlns:a16="http://schemas.microsoft.com/office/drawing/2014/main" id="{84385054-86E4-4EEC-8CAC-A6DDABC4295B}"/>
            </a:ext>
          </a:extLst>
        </xdr:cNvPr>
        <xdr:cNvSpPr txBox="1"/>
      </xdr:nvSpPr>
      <xdr:spPr>
        <a:xfrm>
          <a:off x="278936" y="4398893"/>
          <a:ext cx="1221619" cy="288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084C2C"/>
              </a:solidFill>
              <a:latin typeface="Arial Narrow" panose="020B0606020202030204" pitchFamily="34" charset="0"/>
            </a:rPr>
            <a:t>Recommendations</a:t>
          </a:r>
          <a:endParaRPr lang="en-NG" sz="1100" b="1">
            <a:solidFill>
              <a:srgbClr val="084C2C"/>
            </a:solidFill>
            <a:latin typeface="Arial Narrow" panose="020B0606020202030204" pitchFamily="34" charset="0"/>
          </a:endParaRPr>
        </a:p>
      </xdr:txBody>
    </xdr:sp>
    <xdr:clientData/>
  </xdr:twoCellAnchor>
  <xdr:twoCellAnchor>
    <xdr:from>
      <xdr:col>0</xdr:col>
      <xdr:colOff>561968</xdr:colOff>
      <xdr:row>29</xdr:row>
      <xdr:rowOff>148472</xdr:rowOff>
    </xdr:from>
    <xdr:to>
      <xdr:col>1</xdr:col>
      <xdr:colOff>569222</xdr:colOff>
      <xdr:row>30</xdr:row>
      <xdr:rowOff>173872</xdr:rowOff>
    </xdr:to>
    <xdr:sp macro="" textlink="">
      <xdr:nvSpPr>
        <xdr:cNvPr id="32" name="TextBox 31">
          <a:extLst>
            <a:ext uri="{FF2B5EF4-FFF2-40B4-BE49-F238E27FC236}">
              <a16:creationId xmlns:a16="http://schemas.microsoft.com/office/drawing/2014/main" id="{238BBBC4-532E-400D-8AD3-AC1B7831364F}"/>
            </a:ext>
          </a:extLst>
        </xdr:cNvPr>
        <xdr:cNvSpPr txBox="1"/>
      </xdr:nvSpPr>
      <xdr:spPr>
        <a:xfrm>
          <a:off x="561968" y="5475668"/>
          <a:ext cx="660397" cy="20909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084C2C"/>
              </a:solidFill>
              <a:latin typeface="Arial Narrow" panose="020B0606020202030204" pitchFamily="34" charset="0"/>
            </a:rPr>
            <a:t>Insights</a:t>
          </a:r>
          <a:endParaRPr lang="en-NG" sz="1100" b="1">
            <a:solidFill>
              <a:srgbClr val="084C2C"/>
            </a:solidFill>
            <a:latin typeface="Arial Narrow" panose="020B0606020202030204" pitchFamily="34" charset="0"/>
          </a:endParaRPr>
        </a:p>
      </xdr:txBody>
    </xdr:sp>
    <xdr:clientData/>
  </xdr:twoCellAnchor>
  <xdr:twoCellAnchor>
    <xdr:from>
      <xdr:col>0</xdr:col>
      <xdr:colOff>454320</xdr:colOff>
      <xdr:row>36</xdr:row>
      <xdr:rowOff>1516</xdr:rowOff>
    </xdr:from>
    <xdr:to>
      <xdr:col>2</xdr:col>
      <xdr:colOff>182173</xdr:colOff>
      <xdr:row>37</xdr:row>
      <xdr:rowOff>46116</xdr:rowOff>
    </xdr:to>
    <xdr:sp macro="" textlink="">
      <xdr:nvSpPr>
        <xdr:cNvPr id="33" name="TextBox 32">
          <a:extLst>
            <a:ext uri="{FF2B5EF4-FFF2-40B4-BE49-F238E27FC236}">
              <a16:creationId xmlns:a16="http://schemas.microsoft.com/office/drawing/2014/main" id="{2223B2C5-1900-4C26-8A22-3B9BA2CF8025}"/>
            </a:ext>
          </a:extLst>
        </xdr:cNvPr>
        <xdr:cNvSpPr txBox="1"/>
      </xdr:nvSpPr>
      <xdr:spPr>
        <a:xfrm>
          <a:off x="454320" y="6614587"/>
          <a:ext cx="1034139" cy="2282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084C2C"/>
              </a:solidFill>
              <a:latin typeface="Arial Narrow" panose="020B0606020202030204" pitchFamily="34" charset="0"/>
            </a:rPr>
            <a:t>Post</a:t>
          </a:r>
          <a:r>
            <a:rPr lang="en-US" sz="1100" b="1" baseline="0">
              <a:solidFill>
                <a:srgbClr val="084C2C"/>
              </a:solidFill>
              <a:latin typeface="Arial Narrow" panose="020B0606020202030204" pitchFamily="34" charset="0"/>
            </a:rPr>
            <a:t> Analysis</a:t>
          </a:r>
          <a:endParaRPr lang="en-NG" sz="1100" b="1">
            <a:solidFill>
              <a:srgbClr val="084C2C"/>
            </a:solidFill>
            <a:latin typeface="Arial Narrow" panose="020B0606020202030204" pitchFamily="34" charset="0"/>
          </a:endParaRPr>
        </a:p>
      </xdr:txBody>
    </xdr:sp>
    <xdr:clientData/>
  </xdr:twoCellAnchor>
  <xdr:twoCellAnchor>
    <xdr:from>
      <xdr:col>6</xdr:col>
      <xdr:colOff>187919</xdr:colOff>
      <xdr:row>3</xdr:row>
      <xdr:rowOff>72583</xdr:rowOff>
    </xdr:from>
    <xdr:to>
      <xdr:col>8</xdr:col>
      <xdr:colOff>77850</xdr:colOff>
      <xdr:row>5</xdr:row>
      <xdr:rowOff>175393</xdr:rowOff>
    </xdr:to>
    <xdr:graphicFrame macro="">
      <xdr:nvGraphicFramePr>
        <xdr:cNvPr id="34" name="Chart 33">
          <a:extLst>
            <a:ext uri="{FF2B5EF4-FFF2-40B4-BE49-F238E27FC236}">
              <a16:creationId xmlns:a16="http://schemas.microsoft.com/office/drawing/2014/main" id="{319CCAF2-4DC5-44E8-973A-641727AE71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xdr:col>
      <xdr:colOff>501187</xdr:colOff>
      <xdr:row>4</xdr:row>
      <xdr:rowOff>140315</xdr:rowOff>
    </xdr:from>
    <xdr:to>
      <xdr:col>5</xdr:col>
      <xdr:colOff>102043</xdr:colOff>
      <xdr:row>6</xdr:row>
      <xdr:rowOff>42346</xdr:rowOff>
    </xdr:to>
    <xdr:sp macro="" textlink="">
      <xdr:nvSpPr>
        <xdr:cNvPr id="35" name="TextBox 34">
          <a:extLst>
            <a:ext uri="{FF2B5EF4-FFF2-40B4-BE49-F238E27FC236}">
              <a16:creationId xmlns:a16="http://schemas.microsoft.com/office/drawing/2014/main" id="{DEBFC54D-21B2-4E5C-A2B4-541EA13D94A1}"/>
            </a:ext>
          </a:extLst>
        </xdr:cNvPr>
        <xdr:cNvSpPr txBox="1"/>
      </xdr:nvSpPr>
      <xdr:spPr>
        <a:xfrm>
          <a:off x="1807473" y="875101"/>
          <a:ext cx="1560284" cy="269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solidFill>
                <a:schemeClr val="bg1"/>
              </a:solidFill>
              <a:latin typeface="Arial Narrow" panose="020B0606020202030204" pitchFamily="34" charset="0"/>
            </a:rPr>
            <a:t>Best Transaction Range</a:t>
          </a:r>
          <a:endParaRPr lang="en-NG" sz="1200" b="0">
            <a:solidFill>
              <a:schemeClr val="bg1"/>
            </a:solidFill>
            <a:latin typeface="Arial Narrow" panose="020B0606020202030204" pitchFamily="34" charset="0"/>
          </a:endParaRPr>
        </a:p>
      </xdr:txBody>
    </xdr:sp>
    <xdr:clientData/>
  </xdr:twoCellAnchor>
  <xdr:twoCellAnchor>
    <xdr:from>
      <xdr:col>9</xdr:col>
      <xdr:colOff>128651</xdr:colOff>
      <xdr:row>3</xdr:row>
      <xdr:rowOff>85888</xdr:rowOff>
    </xdr:from>
    <xdr:to>
      <xdr:col>11</xdr:col>
      <xdr:colOff>18583</xdr:colOff>
      <xdr:row>6</xdr:row>
      <xdr:rowOff>1222</xdr:rowOff>
    </xdr:to>
    <xdr:graphicFrame macro="">
      <xdr:nvGraphicFramePr>
        <xdr:cNvPr id="36" name="Chart 35">
          <a:extLst>
            <a:ext uri="{FF2B5EF4-FFF2-40B4-BE49-F238E27FC236}">
              <a16:creationId xmlns:a16="http://schemas.microsoft.com/office/drawing/2014/main" id="{EA7B8056-0BFF-45F6-895B-21B23E2A3B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14</xdr:col>
      <xdr:colOff>565291</xdr:colOff>
      <xdr:row>3</xdr:row>
      <xdr:rowOff>129430</xdr:rowOff>
    </xdr:from>
    <xdr:to>
      <xdr:col>16</xdr:col>
      <xdr:colOff>455222</xdr:colOff>
      <xdr:row>6</xdr:row>
      <xdr:rowOff>44764</xdr:rowOff>
    </xdr:to>
    <xdr:graphicFrame macro="">
      <xdr:nvGraphicFramePr>
        <xdr:cNvPr id="37" name="Chart 36">
          <a:extLst>
            <a:ext uri="{FF2B5EF4-FFF2-40B4-BE49-F238E27FC236}">
              <a16:creationId xmlns:a16="http://schemas.microsoft.com/office/drawing/2014/main" id="{47EB35FE-D55D-426C-97DA-B0A93AD56C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12</xdr:col>
      <xdr:colOff>46404</xdr:colOff>
      <xdr:row>3</xdr:row>
      <xdr:rowOff>106450</xdr:rowOff>
    </xdr:from>
    <xdr:to>
      <xdr:col>13</xdr:col>
      <xdr:colOff>589478</xdr:colOff>
      <xdr:row>6</xdr:row>
      <xdr:rowOff>21784</xdr:rowOff>
    </xdr:to>
    <xdr:graphicFrame macro="">
      <xdr:nvGraphicFramePr>
        <xdr:cNvPr id="38" name="Chart 37">
          <a:extLst>
            <a:ext uri="{FF2B5EF4-FFF2-40B4-BE49-F238E27FC236}">
              <a16:creationId xmlns:a16="http://schemas.microsoft.com/office/drawing/2014/main" id="{F6812FC8-A8F7-420B-9647-00F0FBF83A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3</xdr:col>
      <xdr:colOff>229042</xdr:colOff>
      <xdr:row>3</xdr:row>
      <xdr:rowOff>29040</xdr:rowOff>
    </xdr:from>
    <xdr:to>
      <xdr:col>5</xdr:col>
      <xdr:colOff>118974</xdr:colOff>
      <xdr:row>5</xdr:row>
      <xdr:rowOff>131850</xdr:rowOff>
    </xdr:to>
    <xdr:graphicFrame macro="">
      <xdr:nvGraphicFramePr>
        <xdr:cNvPr id="39" name="Chart 38">
          <a:extLst>
            <a:ext uri="{FF2B5EF4-FFF2-40B4-BE49-F238E27FC236}">
              <a16:creationId xmlns:a16="http://schemas.microsoft.com/office/drawing/2014/main" id="{E89E3D7F-018A-471C-8EF5-E52DC82102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3</xdr:col>
      <xdr:colOff>134701</xdr:colOff>
      <xdr:row>6</xdr:row>
      <xdr:rowOff>64116</xdr:rowOff>
    </xdr:from>
    <xdr:to>
      <xdr:col>4</xdr:col>
      <xdr:colOff>446756</xdr:colOff>
      <xdr:row>8</xdr:row>
      <xdr:rowOff>3791</xdr:rowOff>
    </xdr:to>
    <xdr:sp macro="" textlink="">
      <xdr:nvSpPr>
        <xdr:cNvPr id="40" name="TextBox 39">
          <a:extLst>
            <a:ext uri="{FF2B5EF4-FFF2-40B4-BE49-F238E27FC236}">
              <a16:creationId xmlns:a16="http://schemas.microsoft.com/office/drawing/2014/main" id="{C22ED7DB-35C0-42FD-8C31-CBB08C26C5E0}"/>
            </a:ext>
          </a:extLst>
        </xdr:cNvPr>
        <xdr:cNvSpPr txBox="1"/>
      </xdr:nvSpPr>
      <xdr:spPr>
        <a:xfrm>
          <a:off x="2094130" y="1166295"/>
          <a:ext cx="965197" cy="307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latin typeface="Arial Narrow" panose="020B0606020202030204" pitchFamily="34" charset="0"/>
            </a:rPr>
            <a:t>0</a:t>
          </a:r>
          <a:r>
            <a:rPr lang="en-US" sz="1800" b="1" baseline="0">
              <a:solidFill>
                <a:schemeClr val="bg1"/>
              </a:solidFill>
              <a:latin typeface="Arial Narrow" panose="020B0606020202030204" pitchFamily="34" charset="0"/>
            </a:rPr>
            <a:t> - 1000</a:t>
          </a:r>
          <a:endParaRPr lang="en-NG" sz="1800" b="1">
            <a:solidFill>
              <a:schemeClr val="bg1"/>
            </a:solidFill>
            <a:latin typeface="Arial Narrow" panose="020B0606020202030204" pitchFamily="34" charset="0"/>
          </a:endParaRPr>
        </a:p>
      </xdr:txBody>
    </xdr:sp>
    <xdr:clientData/>
  </xdr:twoCellAnchor>
  <xdr:twoCellAnchor>
    <xdr:from>
      <xdr:col>5</xdr:col>
      <xdr:colOff>260490</xdr:colOff>
      <xdr:row>4</xdr:row>
      <xdr:rowOff>141523</xdr:rowOff>
    </xdr:from>
    <xdr:to>
      <xdr:col>8</xdr:col>
      <xdr:colOff>89946</xdr:colOff>
      <xdr:row>6</xdr:row>
      <xdr:rowOff>120963</xdr:rowOff>
    </xdr:to>
    <xdr:sp macro="" textlink="">
      <xdr:nvSpPr>
        <xdr:cNvPr id="41" name="TextBox 40">
          <a:extLst>
            <a:ext uri="{FF2B5EF4-FFF2-40B4-BE49-F238E27FC236}">
              <a16:creationId xmlns:a16="http://schemas.microsoft.com/office/drawing/2014/main" id="{755E15E6-8930-4DDE-B0C4-D437D2615328}"/>
            </a:ext>
          </a:extLst>
        </xdr:cNvPr>
        <xdr:cNvSpPr txBox="1"/>
      </xdr:nvSpPr>
      <xdr:spPr>
        <a:xfrm>
          <a:off x="3526204" y="876309"/>
          <a:ext cx="1788885" cy="346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solidFill>
                <a:schemeClr val="bg1"/>
              </a:solidFill>
              <a:latin typeface="Arial Narrow" panose="020B0606020202030204" pitchFamily="34" charset="0"/>
            </a:rPr>
            <a:t>Regional</a:t>
          </a:r>
          <a:r>
            <a:rPr lang="en-US" sz="1200" b="0" baseline="0">
              <a:solidFill>
                <a:schemeClr val="bg1"/>
              </a:solidFill>
              <a:latin typeface="Arial Narrow" panose="020B0606020202030204" pitchFamily="34" charset="0"/>
            </a:rPr>
            <a:t> Lead By Revenue</a:t>
          </a:r>
          <a:endParaRPr lang="en-NG" sz="1200" b="0">
            <a:solidFill>
              <a:schemeClr val="bg1"/>
            </a:solidFill>
            <a:latin typeface="Arial Narrow" panose="020B0606020202030204" pitchFamily="34" charset="0"/>
          </a:endParaRPr>
        </a:p>
      </xdr:txBody>
    </xdr:sp>
    <xdr:clientData/>
  </xdr:twoCellAnchor>
  <xdr:twoCellAnchor>
    <xdr:from>
      <xdr:col>8</xdr:col>
      <xdr:colOff>177034</xdr:colOff>
      <xdr:row>4</xdr:row>
      <xdr:rowOff>142733</xdr:rowOff>
    </xdr:from>
    <xdr:to>
      <xdr:col>10</xdr:col>
      <xdr:colOff>646329</xdr:colOff>
      <xdr:row>6</xdr:row>
      <xdr:rowOff>102821</xdr:rowOff>
    </xdr:to>
    <xdr:sp macro="" textlink="">
      <xdr:nvSpPr>
        <xdr:cNvPr id="42" name="TextBox 41">
          <a:extLst>
            <a:ext uri="{FF2B5EF4-FFF2-40B4-BE49-F238E27FC236}">
              <a16:creationId xmlns:a16="http://schemas.microsoft.com/office/drawing/2014/main" id="{E29C5D22-5FFC-4676-9A19-A3B7D2A51A6C}"/>
            </a:ext>
          </a:extLst>
        </xdr:cNvPr>
        <xdr:cNvSpPr txBox="1"/>
      </xdr:nvSpPr>
      <xdr:spPr>
        <a:xfrm>
          <a:off x="5402177" y="877519"/>
          <a:ext cx="1775581" cy="3274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solidFill>
                <a:schemeClr val="bg1"/>
              </a:solidFill>
              <a:latin typeface="Arial Narrow" panose="020B0606020202030204" pitchFamily="34" charset="0"/>
            </a:rPr>
            <a:t>Top</a:t>
          </a:r>
          <a:r>
            <a:rPr lang="en-US" sz="1200" b="0" baseline="0">
              <a:solidFill>
                <a:schemeClr val="bg1"/>
              </a:solidFill>
              <a:latin typeface="Arial Narrow" panose="020B0606020202030204" pitchFamily="34" charset="0"/>
            </a:rPr>
            <a:t> Performing Salesperson</a:t>
          </a:r>
          <a:endParaRPr lang="en-NG" sz="1200" b="0">
            <a:solidFill>
              <a:schemeClr val="bg1"/>
            </a:solidFill>
            <a:latin typeface="Arial Narrow" panose="020B0606020202030204" pitchFamily="34" charset="0"/>
          </a:endParaRPr>
        </a:p>
      </xdr:txBody>
    </xdr:sp>
    <xdr:clientData/>
  </xdr:twoCellAnchor>
  <xdr:twoCellAnchor>
    <xdr:from>
      <xdr:col>11</xdr:col>
      <xdr:colOff>353625</xdr:colOff>
      <xdr:row>5</xdr:row>
      <xdr:rowOff>10896</xdr:rowOff>
    </xdr:from>
    <xdr:to>
      <xdr:col>13</xdr:col>
      <xdr:colOff>313709</xdr:colOff>
      <xdr:row>6</xdr:row>
      <xdr:rowOff>48393</xdr:rowOff>
    </xdr:to>
    <xdr:sp macro="" textlink="">
      <xdr:nvSpPr>
        <xdr:cNvPr id="43" name="TextBox 42">
          <a:extLst>
            <a:ext uri="{FF2B5EF4-FFF2-40B4-BE49-F238E27FC236}">
              <a16:creationId xmlns:a16="http://schemas.microsoft.com/office/drawing/2014/main" id="{B09CC984-2CEE-4B08-898D-45BD46B5DCFE}"/>
            </a:ext>
          </a:extLst>
        </xdr:cNvPr>
        <xdr:cNvSpPr txBox="1"/>
      </xdr:nvSpPr>
      <xdr:spPr>
        <a:xfrm>
          <a:off x="7538196" y="929379"/>
          <a:ext cx="1266371" cy="221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solidFill>
                <a:schemeClr val="bg1"/>
              </a:solidFill>
              <a:latin typeface="Arial Narrow" panose="020B0606020202030204" pitchFamily="34" charset="0"/>
            </a:rPr>
            <a:t>Peak Month for '14</a:t>
          </a:r>
          <a:endParaRPr lang="en-NG" sz="1200" b="0">
            <a:solidFill>
              <a:schemeClr val="bg1"/>
            </a:solidFill>
            <a:latin typeface="Arial Narrow" panose="020B0606020202030204" pitchFamily="34" charset="0"/>
          </a:endParaRPr>
        </a:p>
      </xdr:txBody>
    </xdr:sp>
    <xdr:clientData/>
  </xdr:twoCellAnchor>
  <xdr:twoCellAnchor>
    <xdr:from>
      <xdr:col>14</xdr:col>
      <xdr:colOff>336690</xdr:colOff>
      <xdr:row>5</xdr:row>
      <xdr:rowOff>24201</xdr:rowOff>
    </xdr:from>
    <xdr:to>
      <xdr:col>16</xdr:col>
      <xdr:colOff>168565</xdr:colOff>
      <xdr:row>6</xdr:row>
      <xdr:rowOff>78630</xdr:rowOff>
    </xdr:to>
    <xdr:sp macro="" textlink="">
      <xdr:nvSpPr>
        <xdr:cNvPr id="44" name="TextBox 43">
          <a:extLst>
            <a:ext uri="{FF2B5EF4-FFF2-40B4-BE49-F238E27FC236}">
              <a16:creationId xmlns:a16="http://schemas.microsoft.com/office/drawing/2014/main" id="{D58FA319-B82D-45C9-9907-A4817B99FDEA}"/>
            </a:ext>
          </a:extLst>
        </xdr:cNvPr>
        <xdr:cNvSpPr txBox="1"/>
      </xdr:nvSpPr>
      <xdr:spPr>
        <a:xfrm>
          <a:off x="9480690" y="942684"/>
          <a:ext cx="1138161"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solidFill>
                <a:schemeClr val="bg1"/>
              </a:solidFill>
              <a:latin typeface="Arial Narrow" panose="020B0606020202030204" pitchFamily="34" charset="0"/>
            </a:rPr>
            <a:t>Sum of Revenue</a:t>
          </a:r>
        </a:p>
      </xdr:txBody>
    </xdr:sp>
    <xdr:clientData/>
  </xdr:twoCellAnchor>
  <xdr:twoCellAnchor>
    <xdr:from>
      <xdr:col>11</xdr:col>
      <xdr:colOff>427407</xdr:colOff>
      <xdr:row>6</xdr:row>
      <xdr:rowOff>72582</xdr:rowOff>
    </xdr:from>
    <xdr:to>
      <xdr:col>13</xdr:col>
      <xdr:colOff>216946</xdr:colOff>
      <xdr:row>8</xdr:row>
      <xdr:rowOff>42345</xdr:rowOff>
    </xdr:to>
    <xdr:sp macro="" textlink="">
      <xdr:nvSpPr>
        <xdr:cNvPr id="45" name="TextBox 44">
          <a:extLst>
            <a:ext uri="{FF2B5EF4-FFF2-40B4-BE49-F238E27FC236}">
              <a16:creationId xmlns:a16="http://schemas.microsoft.com/office/drawing/2014/main" id="{CBDFFFE2-5B39-4CB8-BA59-1144C2F1389A}"/>
            </a:ext>
          </a:extLst>
        </xdr:cNvPr>
        <xdr:cNvSpPr txBox="1"/>
      </xdr:nvSpPr>
      <xdr:spPr>
        <a:xfrm>
          <a:off x="7611978" y="1174761"/>
          <a:ext cx="1095826" cy="337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latin typeface="Arial Narrow" panose="020B0606020202030204" pitchFamily="34" charset="0"/>
            </a:rPr>
            <a:t>December</a:t>
          </a:r>
          <a:endParaRPr lang="en-NG" sz="1800" b="1">
            <a:solidFill>
              <a:schemeClr val="bg1"/>
            </a:solidFill>
            <a:latin typeface="Arial Narrow" panose="020B0606020202030204" pitchFamily="34" charset="0"/>
          </a:endParaRPr>
        </a:p>
      </xdr:txBody>
    </xdr:sp>
    <xdr:clientData/>
  </xdr:twoCellAnchor>
  <xdr:twoCellAnchor>
    <xdr:from>
      <xdr:col>9</xdr:col>
      <xdr:colOff>5283</xdr:colOff>
      <xdr:row>6</xdr:row>
      <xdr:rowOff>79840</xdr:rowOff>
    </xdr:from>
    <xdr:to>
      <xdr:col>10</xdr:col>
      <xdr:colOff>144376</xdr:colOff>
      <xdr:row>8</xdr:row>
      <xdr:rowOff>48393</xdr:rowOff>
    </xdr:to>
    <xdr:sp macro="" textlink="">
      <xdr:nvSpPr>
        <xdr:cNvPr id="46" name="TextBox 45">
          <a:extLst>
            <a:ext uri="{FF2B5EF4-FFF2-40B4-BE49-F238E27FC236}">
              <a16:creationId xmlns:a16="http://schemas.microsoft.com/office/drawing/2014/main" id="{A03DD56C-DFBE-4ABB-B869-347F1D09B8BF}"/>
            </a:ext>
          </a:extLst>
        </xdr:cNvPr>
        <xdr:cNvSpPr txBox="1"/>
      </xdr:nvSpPr>
      <xdr:spPr>
        <a:xfrm>
          <a:off x="5883569" y="1182019"/>
          <a:ext cx="792236" cy="335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latin typeface="Arial Narrow" panose="020B0606020202030204" pitchFamily="34" charset="0"/>
            </a:rPr>
            <a:t>Nancy</a:t>
          </a:r>
          <a:endParaRPr lang="en-NG" sz="1800" b="1">
            <a:solidFill>
              <a:schemeClr val="bg1"/>
            </a:solidFill>
            <a:latin typeface="Arial Narrow" panose="020B0606020202030204" pitchFamily="34" charset="0"/>
          </a:endParaRPr>
        </a:p>
      </xdr:txBody>
    </xdr:sp>
    <xdr:clientData/>
  </xdr:twoCellAnchor>
  <xdr:twoCellAnchor>
    <xdr:from>
      <xdr:col>14</xdr:col>
      <xdr:colOff>537472</xdr:colOff>
      <xdr:row>6</xdr:row>
      <xdr:rowOff>81051</xdr:rowOff>
    </xdr:from>
    <xdr:to>
      <xdr:col>16</xdr:col>
      <xdr:colOff>47614</xdr:colOff>
      <xdr:row>8</xdr:row>
      <xdr:rowOff>6061</xdr:rowOff>
    </xdr:to>
    <xdr:sp macro="" textlink="">
      <xdr:nvSpPr>
        <xdr:cNvPr id="47" name="TextBox 46">
          <a:extLst>
            <a:ext uri="{FF2B5EF4-FFF2-40B4-BE49-F238E27FC236}">
              <a16:creationId xmlns:a16="http://schemas.microsoft.com/office/drawing/2014/main" id="{A87A17FD-E4AC-48AA-A576-340DA36A7CF4}"/>
            </a:ext>
          </a:extLst>
        </xdr:cNvPr>
        <xdr:cNvSpPr txBox="1"/>
      </xdr:nvSpPr>
      <xdr:spPr>
        <a:xfrm>
          <a:off x="9681472" y="1183230"/>
          <a:ext cx="816428" cy="2924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G" sz="1800" b="1">
              <a:solidFill>
                <a:schemeClr val="bg1"/>
              </a:solidFill>
              <a:latin typeface="Arial Narrow" panose="020B0606020202030204" pitchFamily="34" charset="0"/>
            </a:rPr>
            <a:t>$435</a:t>
          </a:r>
          <a:r>
            <a:rPr lang="en-US" sz="1800" b="1">
              <a:solidFill>
                <a:schemeClr val="bg1"/>
              </a:solidFill>
              <a:latin typeface="Arial Narrow" panose="020B0606020202030204" pitchFamily="34" charset="0"/>
            </a:rPr>
            <a:t>k</a:t>
          </a:r>
          <a:r>
            <a:rPr lang="en-NG" sz="1800" b="1">
              <a:solidFill>
                <a:schemeClr val="bg1"/>
              </a:solidFill>
              <a:latin typeface="Arial Narrow" panose="020B0606020202030204" pitchFamily="34" charset="0"/>
            </a:rPr>
            <a:t> </a:t>
          </a:r>
        </a:p>
      </xdr:txBody>
    </xdr:sp>
    <xdr:clientData/>
  </xdr:twoCellAnchor>
  <xdr:twoCellAnchor>
    <xdr:from>
      <xdr:col>5</xdr:col>
      <xdr:colOff>649960</xdr:colOff>
      <xdr:row>6</xdr:row>
      <xdr:rowOff>47183</xdr:rowOff>
    </xdr:from>
    <xdr:to>
      <xdr:col>7</xdr:col>
      <xdr:colOff>428614</xdr:colOff>
      <xdr:row>7</xdr:row>
      <xdr:rowOff>163299</xdr:rowOff>
    </xdr:to>
    <xdr:sp macro="" textlink="">
      <xdr:nvSpPr>
        <xdr:cNvPr id="48" name="TextBox 47">
          <a:extLst>
            <a:ext uri="{FF2B5EF4-FFF2-40B4-BE49-F238E27FC236}">
              <a16:creationId xmlns:a16="http://schemas.microsoft.com/office/drawing/2014/main" id="{F6C0C774-583B-4377-98CF-D023D41631CD}"/>
            </a:ext>
          </a:extLst>
        </xdr:cNvPr>
        <xdr:cNvSpPr txBox="1"/>
      </xdr:nvSpPr>
      <xdr:spPr>
        <a:xfrm>
          <a:off x="3915674" y="1149362"/>
          <a:ext cx="1084940" cy="2998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latin typeface="Arial Narrow" panose="020B0606020202030204" pitchFamily="34" charset="0"/>
            </a:rPr>
            <a:t>New</a:t>
          </a:r>
          <a:r>
            <a:rPr lang="en-US" sz="1800" b="1" baseline="0">
              <a:solidFill>
                <a:schemeClr val="bg1"/>
              </a:solidFill>
              <a:latin typeface="Arial Narrow" panose="020B0606020202030204" pitchFamily="34" charset="0"/>
            </a:rPr>
            <a:t> York</a:t>
          </a:r>
          <a:endParaRPr lang="en-NG" sz="1800" b="1">
            <a:solidFill>
              <a:schemeClr val="bg1"/>
            </a:solidFill>
            <a:latin typeface="Arial Narrow" panose="020B0606020202030204" pitchFamily="34" charset="0"/>
          </a:endParaRPr>
        </a:p>
      </xdr:txBody>
    </xdr:sp>
    <xdr:clientData/>
  </xdr:twoCellAnchor>
  <xdr:twoCellAnchor editAs="oneCell">
    <xdr:from>
      <xdr:col>16</xdr:col>
      <xdr:colOff>585852</xdr:colOff>
      <xdr:row>4</xdr:row>
      <xdr:rowOff>108868</xdr:rowOff>
    </xdr:from>
    <xdr:to>
      <xdr:col>22</xdr:col>
      <xdr:colOff>573756</xdr:colOff>
      <xdr:row>6</xdr:row>
      <xdr:rowOff>133060</xdr:rowOff>
    </xdr:to>
    <mc:AlternateContent xmlns:mc="http://schemas.openxmlformats.org/markup-compatibility/2006" xmlns:a14="http://schemas.microsoft.com/office/drawing/2010/main">
      <mc:Choice Requires="a14">
        <xdr:graphicFrame macro="">
          <xdr:nvGraphicFramePr>
            <xdr:cNvPr id="51" name="Salesperson">
              <a:extLst>
                <a:ext uri="{FF2B5EF4-FFF2-40B4-BE49-F238E27FC236}">
                  <a16:creationId xmlns:a16="http://schemas.microsoft.com/office/drawing/2014/main" id="{615FC2CB-AB69-0A44-1C3A-71092B5935A3}"/>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1036138" y="858772"/>
              <a:ext cx="3906761" cy="39914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591899</xdr:colOff>
      <xdr:row>6</xdr:row>
      <xdr:rowOff>92540</xdr:rowOff>
    </xdr:from>
    <xdr:to>
      <xdr:col>22</xdr:col>
      <xdr:colOff>579804</xdr:colOff>
      <xdr:row>8</xdr:row>
      <xdr:rowOff>139107</xdr:rowOff>
    </xdr:to>
    <mc:AlternateContent xmlns:mc="http://schemas.openxmlformats.org/markup-compatibility/2006" xmlns:a14="http://schemas.microsoft.com/office/drawing/2010/main">
      <mc:Choice Requires="a14">
        <xdr:graphicFrame macro="">
          <xdr:nvGraphicFramePr>
            <xdr:cNvPr id="52" name="Product Name">
              <a:extLst>
                <a:ext uri="{FF2B5EF4-FFF2-40B4-BE49-F238E27FC236}">
                  <a16:creationId xmlns:a16="http://schemas.microsoft.com/office/drawing/2014/main" id="{FA480586-E8AE-A710-032B-77987BB9D5C7}"/>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11042185" y="1217397"/>
              <a:ext cx="3906762" cy="42152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5.xml><?xml version="1.0" encoding="utf-8"?>
<xdr:wsDr xmlns:xdr="http://schemas.openxmlformats.org/drawingml/2006/spreadsheetDrawing" xmlns:a="http://schemas.openxmlformats.org/drawingml/2006/main">
  <xdr:twoCellAnchor>
    <xdr:from>
      <xdr:col>0</xdr:col>
      <xdr:colOff>63498</xdr:colOff>
      <xdr:row>2</xdr:row>
      <xdr:rowOff>169334</xdr:rowOff>
    </xdr:from>
    <xdr:to>
      <xdr:col>10</xdr:col>
      <xdr:colOff>243416</xdr:colOff>
      <xdr:row>62</xdr:row>
      <xdr:rowOff>54428</xdr:rowOff>
    </xdr:to>
    <xdr:sp macro="" textlink="">
      <xdr:nvSpPr>
        <xdr:cNvPr id="2" name="Rectangle: Rounded Corners 1">
          <a:extLst>
            <a:ext uri="{FF2B5EF4-FFF2-40B4-BE49-F238E27FC236}">
              <a16:creationId xmlns:a16="http://schemas.microsoft.com/office/drawing/2014/main" id="{BF3446FB-63F6-42EE-BC22-447D60ECCD8A}"/>
            </a:ext>
          </a:extLst>
        </xdr:cNvPr>
        <xdr:cNvSpPr/>
      </xdr:nvSpPr>
      <xdr:spPr>
        <a:xfrm>
          <a:off x="63498" y="532191"/>
          <a:ext cx="6711346" cy="10770809"/>
        </a:xfrm>
        <a:prstGeom prst="roundRect">
          <a:avLst>
            <a:gd name="adj" fmla="val 4720"/>
          </a:avLst>
        </a:prstGeom>
        <a:solidFill>
          <a:schemeClr val="accent1">
            <a:lumMod val="50000"/>
          </a:schemeClr>
        </a:solidFill>
        <a:ln>
          <a:noFill/>
        </a:ln>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ctr"/>
          <a:r>
            <a:rPr lang="en-US" sz="1100" b="1" baseline="0">
              <a:solidFill>
                <a:schemeClr val="bg1"/>
              </a:solidFill>
            </a:rPr>
            <a:t>POST-ANALYSIS OBSERVATIONS</a:t>
          </a:r>
          <a:endParaRPr lang="en-US" sz="1100" b="1">
            <a:solidFill>
              <a:schemeClr val="bg1"/>
            </a:solidFill>
          </a:endParaRPr>
        </a:p>
        <a:p>
          <a:r>
            <a:rPr lang="en-US" sz="1100" b="1" i="0" u="sng" strike="noStrike">
              <a:solidFill>
                <a:schemeClr val="lt1"/>
              </a:solidFill>
              <a:effectLst/>
              <a:latin typeface="+mn-lt"/>
              <a:ea typeface="+mn-ea"/>
              <a:cs typeface="+mn-cs"/>
            </a:rPr>
            <a:t>SALESPERSONS</a:t>
          </a:r>
        </a:p>
        <a:p>
          <a:endParaRPr lang="en-US" sz="1100" b="0" i="0" u="none" strike="noStrike">
            <a:solidFill>
              <a:schemeClr val="lt1"/>
            </a:solidFill>
            <a:effectLst/>
            <a:latin typeface="+mn-lt"/>
            <a:ea typeface="+mn-ea"/>
            <a:cs typeface="+mn-cs"/>
          </a:endParaRPr>
        </a:p>
        <a:p>
          <a:r>
            <a:rPr lang="en-US" sz="1100" b="1" i="0" u="sng" strike="noStrike">
              <a:solidFill>
                <a:schemeClr val="lt1"/>
              </a:solidFill>
              <a:effectLst/>
              <a:latin typeface="+mn-lt"/>
              <a:ea typeface="+mn-ea"/>
              <a:cs typeface="+mn-cs"/>
            </a:rPr>
            <a:t>Andrew</a:t>
          </a:r>
          <a:r>
            <a:rPr lang="en-US" sz="1100" b="1" i="0" u="sng" strike="noStrike" baseline="0">
              <a:solidFill>
                <a:schemeClr val="lt1"/>
              </a:solidFill>
              <a:effectLst/>
              <a:latin typeface="+mn-lt"/>
              <a:ea typeface="+mn-ea"/>
              <a:cs typeface="+mn-cs"/>
            </a:rPr>
            <a:t> Cenani</a:t>
          </a:r>
        </a:p>
        <a:p>
          <a:r>
            <a:rPr lang="en-US" sz="1100" b="0" i="0" u="none" strike="noStrike" baseline="0">
              <a:solidFill>
                <a:schemeClr val="lt1"/>
              </a:solidFill>
              <a:effectLst/>
              <a:latin typeface="+mn-lt"/>
              <a:ea typeface="+mn-ea"/>
              <a:cs typeface="+mn-cs"/>
            </a:rPr>
            <a:t>- He focused more on the eastern region</a:t>
          </a:r>
        </a:p>
        <a:p>
          <a:r>
            <a:rPr lang="en-US" sz="1100" b="0" i="0" u="none" strike="noStrike" baseline="0">
              <a:solidFill>
                <a:schemeClr val="lt1"/>
              </a:solidFill>
              <a:effectLst/>
              <a:latin typeface="+mn-lt"/>
              <a:ea typeface="+mn-ea"/>
              <a:cs typeface="+mn-cs"/>
            </a:rPr>
            <a:t>- He made the most sales in product category of Jams,Preserves followed by Dried Fruit and Nuts, and the least sales in Baked goods and Mixes</a:t>
          </a:r>
        </a:p>
        <a:p>
          <a:r>
            <a:rPr lang="en-US" sz="1100" b="0" i="0" u="none" strike="noStrike">
              <a:solidFill>
                <a:schemeClr val="lt1"/>
              </a:solidFill>
              <a:effectLst/>
              <a:latin typeface="+mn-lt"/>
              <a:ea typeface="+mn-ea"/>
              <a:cs typeface="+mn-cs"/>
            </a:rPr>
            <a:t>- He made</a:t>
          </a:r>
          <a:r>
            <a:rPr lang="en-US" sz="1100" b="0" i="0" u="none" strike="noStrike" baseline="0">
              <a:solidFill>
                <a:schemeClr val="lt1"/>
              </a:solidFill>
              <a:effectLst/>
              <a:latin typeface="+mn-lt"/>
              <a:ea typeface="+mn-ea"/>
              <a:cs typeface="+mn-cs"/>
            </a:rPr>
            <a:t> the most sales in June ($11,595) and the least sales in April ($738.40)</a:t>
          </a:r>
        </a:p>
        <a:p>
          <a:r>
            <a:rPr lang="en-US" sz="1100" b="0" i="0" u="none" strike="noStrike" baseline="0">
              <a:solidFill>
                <a:schemeClr val="lt1"/>
              </a:solidFill>
              <a:effectLst/>
              <a:latin typeface="+mn-lt"/>
              <a:ea typeface="+mn-ea"/>
              <a:cs typeface="+mn-cs"/>
            </a:rPr>
            <a:t>= His customer base was Company D</a:t>
          </a:r>
        </a:p>
        <a:p>
          <a:endParaRPr lang="en-US" sz="1100" b="0" i="0" u="none" strike="noStrike" baseline="0">
            <a:solidFill>
              <a:schemeClr val="lt1"/>
            </a:solidFill>
            <a:effectLst/>
            <a:latin typeface="+mn-lt"/>
            <a:ea typeface="+mn-ea"/>
            <a:cs typeface="+mn-cs"/>
          </a:endParaRPr>
        </a:p>
        <a:p>
          <a:r>
            <a:rPr lang="en-US" sz="1100" b="1" i="0" u="sng">
              <a:solidFill>
                <a:schemeClr val="lt1"/>
              </a:solidFill>
              <a:effectLst/>
              <a:latin typeface="+mn-lt"/>
              <a:ea typeface="+mn-ea"/>
              <a:cs typeface="+mn-cs"/>
            </a:rPr>
            <a:t>Anne</a:t>
          </a:r>
          <a:r>
            <a:rPr lang="en-US" sz="1100" b="1" i="0" u="sng" baseline="0">
              <a:solidFill>
                <a:schemeClr val="lt1"/>
              </a:solidFill>
              <a:effectLst/>
              <a:latin typeface="+mn-lt"/>
              <a:ea typeface="+mn-ea"/>
              <a:cs typeface="+mn-cs"/>
            </a:rPr>
            <a:t> Larsen</a:t>
          </a:r>
          <a:endParaRPr lang="en-NG">
            <a:effectLst/>
          </a:endParaRPr>
        </a:p>
        <a:p>
          <a:r>
            <a:rPr lang="en-US" sz="1100" b="0" i="0" baseline="0">
              <a:solidFill>
                <a:schemeClr val="lt1"/>
              </a:solidFill>
              <a:effectLst/>
              <a:latin typeface="+mn-lt"/>
              <a:ea typeface="+mn-ea"/>
              <a:cs typeface="+mn-cs"/>
            </a:rPr>
            <a:t>- She focused more on the southern region</a:t>
          </a:r>
          <a:endParaRPr lang="en-NG">
            <a:effectLst/>
          </a:endParaRPr>
        </a:p>
        <a:p>
          <a:r>
            <a:rPr lang="en-US" sz="1100" b="0" i="0" baseline="0">
              <a:solidFill>
                <a:schemeClr val="lt1"/>
              </a:solidFill>
              <a:effectLst/>
              <a:latin typeface="+mn-lt"/>
              <a:ea typeface="+mn-ea"/>
              <a:cs typeface="+mn-cs"/>
            </a:rPr>
            <a:t>- She made the most sales in product category of Beverages followed Canned Meat, and the least sales in Soups</a:t>
          </a:r>
          <a:endParaRPr lang="en-NG">
            <a:effectLst/>
          </a:endParaRPr>
        </a:p>
        <a:p>
          <a:r>
            <a:rPr lang="en-US" sz="1100" b="0" i="0">
              <a:solidFill>
                <a:schemeClr val="lt1"/>
              </a:solidFill>
              <a:effectLst/>
              <a:latin typeface="+mn-lt"/>
              <a:ea typeface="+mn-ea"/>
              <a:cs typeface="+mn-cs"/>
            </a:rPr>
            <a:t>- She made</a:t>
          </a:r>
          <a:r>
            <a:rPr lang="en-US" sz="1100" b="0" i="0" baseline="0">
              <a:solidFill>
                <a:schemeClr val="lt1"/>
              </a:solidFill>
              <a:effectLst/>
              <a:latin typeface="+mn-lt"/>
              <a:ea typeface="+mn-ea"/>
              <a:cs typeface="+mn-cs"/>
            </a:rPr>
            <a:t> the most sales in December (</a:t>
          </a:r>
          <a:r>
            <a:rPr lang="en-US">
              <a:effectLst/>
            </a:rPr>
            <a:t>$12,458.47</a:t>
          </a:r>
          <a:r>
            <a:rPr lang="en-US" sz="1100" b="0" i="0" baseline="0">
              <a:solidFill>
                <a:schemeClr val="lt1"/>
              </a:solidFill>
              <a:effectLst/>
              <a:latin typeface="+mn-lt"/>
              <a:ea typeface="+mn-ea"/>
              <a:cs typeface="+mn-cs"/>
            </a:rPr>
            <a:t>) and the least sales in September ($</a:t>
          </a:r>
          <a:r>
            <a:rPr lang="en-US">
              <a:effectLst/>
            </a:rPr>
            <a:t>4,629.11</a:t>
          </a:r>
          <a:r>
            <a:rPr lang="en-US" sz="1100" b="0" i="0" baseline="0">
              <a:solidFill>
                <a:schemeClr val="lt1"/>
              </a:solidFill>
              <a:effectLst/>
              <a:latin typeface="+mn-lt"/>
              <a:ea typeface="+mn-ea"/>
              <a:cs typeface="+mn-cs"/>
            </a:rPr>
            <a:t>)</a:t>
          </a:r>
          <a:endParaRPr lang="en-NG">
            <a:effectLst/>
          </a:endParaRPr>
        </a:p>
        <a:p>
          <a:r>
            <a:rPr lang="en-US" sz="1100" b="0" i="0" baseline="0">
              <a:solidFill>
                <a:schemeClr val="lt1"/>
              </a:solidFill>
              <a:effectLst/>
              <a:latin typeface="+mn-lt"/>
              <a:ea typeface="+mn-ea"/>
              <a:cs typeface="+mn-cs"/>
            </a:rPr>
            <a:t>= Her top customers were   Company BB, Company Z and Company K</a:t>
          </a:r>
          <a:endParaRPr lang="en-NG">
            <a:effectLst/>
          </a:endParaRPr>
        </a:p>
        <a:p>
          <a:endParaRPr lang="en-US" sz="1100" b="0" i="0" u="none" strike="noStrike">
            <a:solidFill>
              <a:schemeClr val="lt1"/>
            </a:solidFill>
            <a:effectLst/>
            <a:latin typeface="+mn-lt"/>
            <a:ea typeface="+mn-ea"/>
            <a:cs typeface="+mn-cs"/>
          </a:endParaRPr>
        </a:p>
        <a:p>
          <a:r>
            <a:rPr lang="en-US" sz="1100" b="1" i="0" u="sng">
              <a:solidFill>
                <a:schemeClr val="lt1"/>
              </a:solidFill>
              <a:effectLst/>
              <a:latin typeface="+mn-lt"/>
              <a:ea typeface="+mn-ea"/>
              <a:cs typeface="+mn-cs"/>
            </a:rPr>
            <a:t>Jan</a:t>
          </a:r>
          <a:r>
            <a:rPr lang="en-US" sz="1100" b="1" i="0" u="sng" baseline="0">
              <a:solidFill>
                <a:schemeClr val="lt1"/>
              </a:solidFill>
              <a:effectLst/>
              <a:latin typeface="+mn-lt"/>
              <a:ea typeface="+mn-ea"/>
              <a:cs typeface="+mn-cs"/>
            </a:rPr>
            <a:t> Kotas</a:t>
          </a:r>
          <a:endParaRPr lang="en-NG">
            <a:effectLst/>
          </a:endParaRPr>
        </a:p>
        <a:p>
          <a:r>
            <a:rPr lang="en-US" sz="1100" b="0" i="0" baseline="0">
              <a:solidFill>
                <a:schemeClr val="lt1"/>
              </a:solidFill>
              <a:effectLst/>
              <a:latin typeface="+mn-lt"/>
              <a:ea typeface="+mn-ea"/>
              <a:cs typeface="+mn-cs"/>
            </a:rPr>
            <a:t>- He focused more on the Western region</a:t>
          </a:r>
          <a:endParaRPr lang="en-NG">
            <a:effectLst/>
          </a:endParaRPr>
        </a:p>
        <a:p>
          <a:r>
            <a:rPr lang="en-US" sz="1100" b="0" i="0" baseline="0">
              <a:solidFill>
                <a:schemeClr val="lt1"/>
              </a:solidFill>
              <a:effectLst/>
              <a:latin typeface="+mn-lt"/>
              <a:ea typeface="+mn-ea"/>
              <a:cs typeface="+mn-cs"/>
            </a:rPr>
            <a:t>-He made the most sales in product category of Beverages followed by Fruits and Vegs, and the least sales in candy</a:t>
          </a:r>
          <a:endParaRPr lang="en-NG">
            <a:effectLst/>
          </a:endParaRPr>
        </a:p>
        <a:p>
          <a:r>
            <a:rPr lang="en-US" sz="1100" b="0" i="0">
              <a:solidFill>
                <a:schemeClr val="lt1"/>
              </a:solidFill>
              <a:effectLst/>
              <a:latin typeface="+mn-lt"/>
              <a:ea typeface="+mn-ea"/>
              <a:cs typeface="+mn-cs"/>
            </a:rPr>
            <a:t>- He made</a:t>
          </a:r>
          <a:r>
            <a:rPr lang="en-US" sz="1100" b="0" i="0" baseline="0">
              <a:solidFill>
                <a:schemeClr val="lt1"/>
              </a:solidFill>
              <a:effectLst/>
              <a:latin typeface="+mn-lt"/>
              <a:ea typeface="+mn-ea"/>
              <a:cs typeface="+mn-cs"/>
            </a:rPr>
            <a:t> the most sales in December (</a:t>
          </a:r>
          <a:r>
            <a:rPr lang="en-US">
              <a:effectLst/>
            </a:rPr>
            <a:t>$4,928.00</a:t>
          </a:r>
          <a:r>
            <a:rPr lang="en-US" sz="1100" b="0" i="0" baseline="0">
              <a:solidFill>
                <a:schemeClr val="lt1"/>
              </a:solidFill>
              <a:effectLst/>
              <a:latin typeface="+mn-lt"/>
              <a:ea typeface="+mn-ea"/>
              <a:cs typeface="+mn-cs"/>
            </a:rPr>
            <a:t>) and all his sales were relatively low</a:t>
          </a:r>
        </a:p>
        <a:p>
          <a:r>
            <a:rPr lang="en-US" sz="1100" b="0" i="0" baseline="0">
              <a:solidFill>
                <a:schemeClr val="lt1"/>
              </a:solidFill>
              <a:effectLst/>
              <a:latin typeface="+mn-lt"/>
              <a:ea typeface="+mn-ea"/>
              <a:cs typeface="+mn-cs"/>
            </a:rPr>
            <a:t>- He was the least performing sales person</a:t>
          </a:r>
          <a:endParaRPr lang="en-NG">
            <a:effectLst/>
          </a:endParaRPr>
        </a:p>
        <a:p>
          <a:r>
            <a:rPr lang="en-US" sz="1100" b="0" i="0" baseline="0">
              <a:solidFill>
                <a:schemeClr val="lt1"/>
              </a:solidFill>
              <a:effectLst/>
              <a:latin typeface="+mn-lt"/>
              <a:ea typeface="+mn-ea"/>
              <a:cs typeface="+mn-cs"/>
            </a:rPr>
            <a:t>= He top customers was  Company CC</a:t>
          </a:r>
          <a:endParaRPr lang="en-NG">
            <a:effectLst/>
          </a:endParaRPr>
        </a:p>
        <a:p>
          <a:endParaRPr lang="en-US" sz="1100" b="0" i="0" u="none" strike="noStrike">
            <a:solidFill>
              <a:schemeClr val="lt1"/>
            </a:solidFill>
            <a:effectLst/>
            <a:latin typeface="+mn-lt"/>
            <a:ea typeface="+mn-ea"/>
            <a:cs typeface="+mn-cs"/>
          </a:endParaRPr>
        </a:p>
        <a:p>
          <a:r>
            <a:rPr lang="en-US" sz="1100" b="1" i="0" u="sng">
              <a:solidFill>
                <a:schemeClr val="lt1"/>
              </a:solidFill>
              <a:effectLst/>
              <a:latin typeface="+mn-lt"/>
              <a:ea typeface="+mn-ea"/>
              <a:cs typeface="+mn-cs"/>
            </a:rPr>
            <a:t>Laura</a:t>
          </a:r>
          <a:r>
            <a:rPr lang="en-US" sz="1100" b="1" i="0" u="sng" baseline="0">
              <a:solidFill>
                <a:schemeClr val="lt1"/>
              </a:solidFill>
              <a:effectLst/>
              <a:latin typeface="+mn-lt"/>
              <a:ea typeface="+mn-ea"/>
              <a:cs typeface="+mn-cs"/>
            </a:rPr>
            <a:t> Giussani</a:t>
          </a:r>
          <a:endParaRPr lang="en-NG">
            <a:effectLst/>
          </a:endParaRPr>
        </a:p>
        <a:p>
          <a:r>
            <a:rPr lang="en-US" sz="1100" b="0" i="0" baseline="0">
              <a:solidFill>
                <a:schemeClr val="lt1"/>
              </a:solidFill>
              <a:effectLst/>
              <a:latin typeface="+mn-lt"/>
              <a:ea typeface="+mn-ea"/>
              <a:cs typeface="+mn-cs"/>
            </a:rPr>
            <a:t>- She focused more on the Eastern region</a:t>
          </a:r>
          <a:endParaRPr lang="en-NG">
            <a:effectLst/>
          </a:endParaRPr>
        </a:p>
        <a:p>
          <a:r>
            <a:rPr lang="en-US" sz="1100" b="0" i="0" baseline="0">
              <a:solidFill>
                <a:schemeClr val="lt1"/>
              </a:solidFill>
              <a:effectLst/>
              <a:latin typeface="+mn-lt"/>
              <a:ea typeface="+mn-ea"/>
              <a:cs typeface="+mn-cs"/>
            </a:rPr>
            <a:t>- She made the most sales in product category of Condinments followed Baked Goods and mixes, and the least sales in Beverages</a:t>
          </a:r>
          <a:endParaRPr lang="en-NG">
            <a:effectLst/>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a:solidFill>
                <a:schemeClr val="lt1"/>
              </a:solidFill>
              <a:effectLst/>
              <a:latin typeface="+mn-lt"/>
              <a:ea typeface="+mn-ea"/>
              <a:cs typeface="+mn-cs"/>
            </a:rPr>
            <a:t>- She made</a:t>
          </a:r>
          <a:r>
            <a:rPr lang="en-US" sz="1100" b="0" i="0" baseline="0">
              <a:solidFill>
                <a:schemeClr val="lt1"/>
              </a:solidFill>
              <a:effectLst/>
              <a:latin typeface="+mn-lt"/>
              <a:ea typeface="+mn-ea"/>
              <a:cs typeface="+mn-cs"/>
            </a:rPr>
            <a:t> the most sales in June ($6,700.60) and the least sales in March (</a:t>
          </a:r>
          <a:r>
            <a:rPr lang="en-US">
              <a:effectLst/>
            </a:rPr>
            <a:t>$1,083.50</a:t>
          </a:r>
          <a:r>
            <a:rPr lang="en-US" sz="1100" b="0" i="0" baseline="0">
              <a:solidFill>
                <a:schemeClr val="lt1"/>
              </a:solidFill>
              <a:effectLst/>
              <a:latin typeface="+mn-lt"/>
              <a:ea typeface="+mn-ea"/>
              <a:cs typeface="+mn-cs"/>
            </a:rPr>
            <a:t>)</a:t>
          </a:r>
          <a:endParaRPr lang="en-NG">
            <a:effectLst/>
          </a:endParaRPr>
        </a:p>
        <a:p>
          <a:r>
            <a:rPr lang="en-US" sz="1100" b="0" i="0" baseline="0">
              <a:solidFill>
                <a:schemeClr val="lt1"/>
              </a:solidFill>
              <a:effectLst/>
              <a:latin typeface="+mn-lt"/>
              <a:ea typeface="+mn-ea"/>
              <a:cs typeface="+mn-cs"/>
            </a:rPr>
            <a:t>= Her top customers were   Company J and Comapny Y</a:t>
          </a:r>
        </a:p>
        <a:p>
          <a:endParaRPr lang="en-US" sz="1100" b="0" i="0" baseline="0">
            <a:solidFill>
              <a:schemeClr val="lt1"/>
            </a:solidFill>
            <a:effectLst/>
            <a:latin typeface="+mn-lt"/>
            <a:ea typeface="+mn-ea"/>
            <a:cs typeface="+mn-cs"/>
          </a:endParaRPr>
        </a:p>
        <a:p>
          <a:r>
            <a:rPr lang="en-US" sz="1100" b="1" i="0" u="sng">
              <a:solidFill>
                <a:schemeClr val="lt1"/>
              </a:solidFill>
              <a:effectLst/>
              <a:latin typeface="+mn-lt"/>
              <a:ea typeface="+mn-ea"/>
              <a:cs typeface="+mn-cs"/>
            </a:rPr>
            <a:t>Mariya</a:t>
          </a:r>
          <a:r>
            <a:rPr lang="en-US" sz="1100" b="1" i="0" u="sng" baseline="0">
              <a:solidFill>
                <a:schemeClr val="lt1"/>
              </a:solidFill>
              <a:effectLst/>
              <a:latin typeface="+mn-lt"/>
              <a:ea typeface="+mn-ea"/>
              <a:cs typeface="+mn-cs"/>
            </a:rPr>
            <a:t> Sergienko</a:t>
          </a:r>
          <a:endParaRPr lang="en-NG">
            <a:effectLst/>
          </a:endParaRPr>
        </a:p>
        <a:p>
          <a:r>
            <a:rPr lang="en-US" sz="1100" b="0" i="0" baseline="0">
              <a:solidFill>
                <a:schemeClr val="lt1"/>
              </a:solidFill>
              <a:effectLst/>
              <a:latin typeface="+mn-lt"/>
              <a:ea typeface="+mn-ea"/>
              <a:cs typeface="+mn-cs"/>
            </a:rPr>
            <a:t>- She focused more on the Western  region</a:t>
          </a:r>
          <a:endParaRPr lang="en-NG">
            <a:effectLst/>
          </a:endParaRPr>
        </a:p>
        <a:p>
          <a:r>
            <a:rPr lang="en-US" sz="1100" b="0" i="0" baseline="0">
              <a:solidFill>
                <a:schemeClr val="lt1"/>
              </a:solidFill>
              <a:effectLst/>
              <a:latin typeface="+mn-lt"/>
              <a:ea typeface="+mn-ea"/>
              <a:cs typeface="+mn-cs"/>
            </a:rPr>
            <a:t>- She made the most sales in product category of Sauces followed by Beverages, and the least sales in Dried Fruits and Nuts</a:t>
          </a:r>
          <a:endParaRPr lang="en-NG">
            <a:effectLst/>
          </a:endParaRPr>
        </a:p>
        <a:p>
          <a:pPr rtl="0" eaLnBrk="1" fontAlgn="auto" latinLnBrk="0" hangingPunct="1"/>
          <a:r>
            <a:rPr lang="en-US" sz="1100" b="0" i="0">
              <a:solidFill>
                <a:schemeClr val="lt1"/>
              </a:solidFill>
              <a:effectLst/>
              <a:latin typeface="+mn-lt"/>
              <a:ea typeface="+mn-ea"/>
              <a:cs typeface="+mn-cs"/>
            </a:rPr>
            <a:t>- She made</a:t>
          </a:r>
          <a:r>
            <a:rPr lang="en-US" sz="1100" b="0" i="0" baseline="0">
              <a:solidFill>
                <a:schemeClr val="lt1"/>
              </a:solidFill>
              <a:effectLst/>
              <a:latin typeface="+mn-lt"/>
              <a:ea typeface="+mn-ea"/>
              <a:cs typeface="+mn-cs"/>
            </a:rPr>
            <a:t> the most sales in  December ($7,653.16) and the least sales in July (</a:t>
          </a:r>
          <a:r>
            <a:rPr lang="en-US" sz="1100">
              <a:solidFill>
                <a:schemeClr val="lt1"/>
              </a:solidFill>
              <a:effectLst/>
              <a:latin typeface="+mn-lt"/>
              <a:ea typeface="+mn-ea"/>
              <a:cs typeface="+mn-cs"/>
            </a:rPr>
            <a:t>$1,390.00</a:t>
          </a:r>
          <a:r>
            <a:rPr lang="en-US" sz="1100" b="0" i="0" baseline="0">
              <a:solidFill>
                <a:schemeClr val="lt1"/>
              </a:solidFill>
              <a:effectLst/>
              <a:latin typeface="+mn-lt"/>
              <a:ea typeface="+mn-ea"/>
              <a:cs typeface="+mn-cs"/>
            </a:rPr>
            <a:t>)</a:t>
          </a:r>
          <a:endParaRPr lang="en-NG">
            <a:effectLst/>
          </a:endParaRPr>
        </a:p>
        <a:p>
          <a:r>
            <a:rPr lang="en-US" sz="1100" b="0" i="0" baseline="0">
              <a:solidFill>
                <a:schemeClr val="lt1"/>
              </a:solidFill>
              <a:effectLst/>
              <a:latin typeface="+mn-lt"/>
              <a:ea typeface="+mn-ea"/>
              <a:cs typeface="+mn-cs"/>
            </a:rPr>
            <a:t>- Her top customers were   Company C, Company L and Company AA</a:t>
          </a:r>
          <a:endParaRPr lang="en-NG">
            <a:effectLst/>
          </a:endParaRPr>
        </a:p>
        <a:p>
          <a:endParaRPr lang="en-US" sz="1100" b="0" i="0" u="none" strike="noStrike">
            <a:solidFill>
              <a:schemeClr val="lt1"/>
            </a:solidFill>
            <a:effectLst/>
            <a:latin typeface="+mn-lt"/>
            <a:ea typeface="+mn-ea"/>
            <a:cs typeface="+mn-cs"/>
          </a:endParaRPr>
        </a:p>
        <a:p>
          <a:r>
            <a:rPr lang="en-US" sz="1100" b="1" i="0" u="sng" baseline="0">
              <a:solidFill>
                <a:schemeClr val="lt1"/>
              </a:solidFill>
              <a:effectLst/>
              <a:latin typeface="+mn-lt"/>
              <a:ea typeface="+mn-ea"/>
              <a:cs typeface="+mn-cs"/>
            </a:rPr>
            <a:t>Micheal Neipper</a:t>
          </a:r>
          <a:endParaRPr lang="en-NG">
            <a:effectLst/>
          </a:endParaRPr>
        </a:p>
        <a:p>
          <a:r>
            <a:rPr lang="en-US" sz="1100" b="0" i="0" baseline="0">
              <a:solidFill>
                <a:schemeClr val="lt1"/>
              </a:solidFill>
              <a:effectLst/>
              <a:latin typeface="+mn-lt"/>
              <a:ea typeface="+mn-ea"/>
              <a:cs typeface="+mn-cs"/>
            </a:rPr>
            <a:t>- He focused more on tthe northern region</a:t>
          </a:r>
          <a:endParaRPr lang="en-NG">
            <a:effectLst/>
          </a:endParaRPr>
        </a:p>
        <a:p>
          <a:r>
            <a:rPr lang="en-US" sz="1100" b="0" i="0" baseline="0">
              <a:solidFill>
                <a:schemeClr val="lt1"/>
              </a:solidFill>
              <a:effectLst/>
              <a:latin typeface="+mn-lt"/>
              <a:ea typeface="+mn-ea"/>
              <a:cs typeface="+mn-cs"/>
            </a:rPr>
            <a:t>- He made the most sales in product category of Beverages followed by sauces and the least sales in Dried Fruit and Nuts</a:t>
          </a:r>
        </a:p>
        <a:p>
          <a:r>
            <a:rPr lang="en-US" sz="1100" b="0" i="0">
              <a:solidFill>
                <a:schemeClr val="lt1"/>
              </a:solidFill>
              <a:effectLst/>
              <a:latin typeface="+mn-lt"/>
              <a:ea typeface="+mn-ea"/>
              <a:cs typeface="+mn-cs"/>
            </a:rPr>
            <a:t>- He made</a:t>
          </a:r>
          <a:r>
            <a:rPr lang="en-US" sz="1100" b="0" i="0" baseline="0">
              <a:solidFill>
                <a:schemeClr val="lt1"/>
              </a:solidFill>
              <a:effectLst/>
              <a:latin typeface="+mn-lt"/>
              <a:ea typeface="+mn-ea"/>
              <a:cs typeface="+mn-cs"/>
            </a:rPr>
            <a:t> the most sales in  October ($6,738.50) and the least sales in April ($680.40)</a:t>
          </a:r>
          <a:endParaRPr lang="en-NG">
            <a:effectLst/>
          </a:endParaRPr>
        </a:p>
        <a:p>
          <a:r>
            <a:rPr lang="en-US" sz="1100" b="0" i="0" baseline="0">
              <a:solidFill>
                <a:schemeClr val="lt1"/>
              </a:solidFill>
              <a:effectLst/>
              <a:latin typeface="+mn-lt"/>
              <a:ea typeface="+mn-ea"/>
              <a:cs typeface="+mn-cs"/>
            </a:rPr>
            <a:t>- His customer base was Company F</a:t>
          </a:r>
        </a:p>
        <a:p>
          <a:endParaRPr lang="en-US" sz="1100" b="0" i="0" baseline="0">
            <a:solidFill>
              <a:schemeClr val="lt1"/>
            </a:solidFill>
            <a:effectLst/>
            <a:latin typeface="+mn-lt"/>
            <a:ea typeface="+mn-ea"/>
            <a:cs typeface="+mn-cs"/>
          </a:endParaRPr>
        </a:p>
        <a:p>
          <a:r>
            <a:rPr lang="en-US" sz="1100" b="1" i="0" u="sng">
              <a:solidFill>
                <a:schemeClr val="lt1"/>
              </a:solidFill>
              <a:effectLst/>
              <a:latin typeface="+mn-lt"/>
              <a:ea typeface="+mn-ea"/>
              <a:cs typeface="+mn-cs"/>
            </a:rPr>
            <a:t>Nancy</a:t>
          </a:r>
          <a:r>
            <a:rPr lang="en-US" sz="1100" b="1" i="0" u="sng" baseline="0">
              <a:solidFill>
                <a:schemeClr val="lt1"/>
              </a:solidFill>
              <a:effectLst/>
              <a:latin typeface="+mn-lt"/>
              <a:ea typeface="+mn-ea"/>
              <a:cs typeface="+mn-cs"/>
            </a:rPr>
            <a:t> Freehafer</a:t>
          </a:r>
          <a:endParaRPr lang="en-NG">
            <a:effectLst/>
          </a:endParaRPr>
        </a:p>
        <a:p>
          <a:r>
            <a:rPr lang="en-US" sz="1100" b="0" i="0" baseline="0">
              <a:solidFill>
                <a:schemeClr val="lt1"/>
              </a:solidFill>
              <a:effectLst/>
              <a:latin typeface="+mn-lt"/>
              <a:ea typeface="+mn-ea"/>
              <a:cs typeface="+mn-cs"/>
            </a:rPr>
            <a:t>- She focused more on the Northern region</a:t>
          </a:r>
          <a:endParaRPr lang="en-NG">
            <a:effectLst/>
          </a:endParaRPr>
        </a:p>
        <a:p>
          <a:r>
            <a:rPr lang="en-US" sz="1100" b="0" i="0" baseline="0">
              <a:solidFill>
                <a:schemeClr val="lt1"/>
              </a:solidFill>
              <a:effectLst/>
              <a:latin typeface="+mn-lt"/>
              <a:ea typeface="+mn-ea"/>
              <a:cs typeface="+mn-cs"/>
            </a:rPr>
            <a:t>- She made the most sales in product category of Beverages followed by Sauces, and the least sales in Candy</a:t>
          </a:r>
          <a:endParaRPr lang="en-NG">
            <a:effectLst/>
          </a:endParaRPr>
        </a:p>
        <a:p>
          <a:pPr rtl="0" eaLnBrk="1" fontAlgn="auto" latinLnBrk="0" hangingPunct="1"/>
          <a:r>
            <a:rPr lang="en-US" sz="1100" b="0" i="0">
              <a:solidFill>
                <a:schemeClr val="lt1"/>
              </a:solidFill>
              <a:effectLst/>
              <a:latin typeface="+mn-lt"/>
              <a:ea typeface="+mn-ea"/>
              <a:cs typeface="+mn-cs"/>
            </a:rPr>
            <a:t>- She made</a:t>
          </a:r>
          <a:r>
            <a:rPr lang="en-US" sz="1100" b="0" i="0" baseline="0">
              <a:solidFill>
                <a:schemeClr val="lt1"/>
              </a:solidFill>
              <a:effectLst/>
              <a:latin typeface="+mn-lt"/>
              <a:ea typeface="+mn-ea"/>
              <a:cs typeface="+mn-cs"/>
            </a:rPr>
            <a:t> the most sales in  December ($16,173.56) and the least sales in February (</a:t>
          </a:r>
          <a:r>
            <a:rPr lang="en-US" sz="1100">
              <a:solidFill>
                <a:schemeClr val="lt1"/>
              </a:solidFill>
              <a:effectLst/>
              <a:latin typeface="+mn-lt"/>
              <a:ea typeface="+mn-ea"/>
              <a:cs typeface="+mn-cs"/>
            </a:rPr>
            <a:t>$1,694.95</a:t>
          </a:r>
          <a:r>
            <a:rPr lang="en-US" sz="1100" b="0" i="0" baseline="0">
              <a:solidFill>
                <a:schemeClr val="lt1"/>
              </a:solidFill>
              <a:effectLst/>
              <a:latin typeface="+mn-lt"/>
              <a:ea typeface="+mn-ea"/>
              <a:cs typeface="+mn-cs"/>
            </a:rPr>
            <a:t>)</a:t>
          </a:r>
        </a:p>
        <a:p>
          <a:pPr rtl="0" eaLnBrk="1" fontAlgn="auto" latinLnBrk="0" hangingPunct="1"/>
          <a:r>
            <a:rPr lang="en-US" sz="1100" b="0" i="0" baseline="0">
              <a:solidFill>
                <a:schemeClr val="lt1"/>
              </a:solidFill>
              <a:effectLst/>
              <a:latin typeface="+mn-lt"/>
              <a:ea typeface="+mn-ea"/>
              <a:cs typeface="+mn-cs"/>
            </a:rPr>
            <a:t>- She was the top performing sales person</a:t>
          </a:r>
          <a:endParaRPr lang="en-NG">
            <a:effectLst/>
          </a:endParaRPr>
        </a:p>
        <a:p>
          <a:r>
            <a:rPr lang="en-US" sz="1100" b="0" i="0" baseline="0">
              <a:solidFill>
                <a:schemeClr val="lt1"/>
              </a:solidFill>
              <a:effectLst/>
              <a:latin typeface="+mn-lt"/>
              <a:ea typeface="+mn-ea"/>
              <a:cs typeface="+mn-cs"/>
            </a:rPr>
            <a:t>- Her top customers were   Company H, Company A and Company G</a:t>
          </a:r>
        </a:p>
        <a:p>
          <a:endParaRPr lang="en-US" sz="1100" b="0" i="0" baseline="0">
            <a:solidFill>
              <a:schemeClr val="lt1"/>
            </a:solidFill>
            <a:effectLst/>
            <a:latin typeface="+mn-lt"/>
            <a:ea typeface="+mn-ea"/>
            <a:cs typeface="+mn-cs"/>
          </a:endParaRPr>
        </a:p>
        <a:p>
          <a:r>
            <a:rPr lang="en-US" sz="1100" b="1" i="0" u="sng" baseline="0">
              <a:solidFill>
                <a:schemeClr val="lt1"/>
              </a:solidFill>
              <a:effectLst/>
              <a:latin typeface="+mn-lt"/>
              <a:ea typeface="+mn-ea"/>
              <a:cs typeface="+mn-cs"/>
            </a:rPr>
            <a:t>Robert Zare</a:t>
          </a:r>
          <a:endParaRPr lang="en-NG">
            <a:effectLst/>
          </a:endParaRPr>
        </a:p>
        <a:p>
          <a:r>
            <a:rPr lang="en-US" sz="1100" b="0" i="0" baseline="0">
              <a:solidFill>
                <a:schemeClr val="lt1"/>
              </a:solidFill>
              <a:effectLst/>
              <a:latin typeface="+mn-lt"/>
              <a:ea typeface="+mn-ea"/>
              <a:cs typeface="+mn-cs"/>
            </a:rPr>
            <a:t>- He focused more on tthe Western region</a:t>
          </a:r>
          <a:endParaRPr lang="en-NG">
            <a:effectLst/>
          </a:endParaRPr>
        </a:p>
        <a:p>
          <a:r>
            <a:rPr lang="en-US" sz="1100" b="0" i="0" baseline="0">
              <a:solidFill>
                <a:schemeClr val="lt1"/>
              </a:solidFill>
              <a:effectLst/>
              <a:latin typeface="+mn-lt"/>
              <a:ea typeface="+mn-ea"/>
              <a:cs typeface="+mn-cs"/>
            </a:rPr>
            <a:t>- He made the most sales in product category of Diary Products followed by Pasta and the least sales in Soups</a:t>
          </a:r>
          <a:endParaRPr lang="en-NG">
            <a:effectLst/>
          </a:endParaRPr>
        </a:p>
        <a:p>
          <a:r>
            <a:rPr lang="en-US" sz="1100" b="0" i="0">
              <a:solidFill>
                <a:schemeClr val="lt1"/>
              </a:solidFill>
              <a:effectLst/>
              <a:latin typeface="+mn-lt"/>
              <a:ea typeface="+mn-ea"/>
              <a:cs typeface="+mn-cs"/>
            </a:rPr>
            <a:t>- He made</a:t>
          </a:r>
          <a:r>
            <a:rPr lang="en-US" sz="1100" b="0" i="0" baseline="0">
              <a:solidFill>
                <a:schemeClr val="lt1"/>
              </a:solidFill>
              <a:effectLst/>
              <a:latin typeface="+mn-lt"/>
              <a:ea typeface="+mn-ea"/>
              <a:cs typeface="+mn-cs"/>
            </a:rPr>
            <a:t> the most sales in  October ($4,542.85) and the least sales in February ($260.55)</a:t>
          </a:r>
          <a:endParaRPr lang="en-NG">
            <a:effectLst/>
          </a:endParaRPr>
        </a:p>
        <a:p>
          <a:r>
            <a:rPr lang="en-US" sz="1100" b="0" i="0" baseline="0">
              <a:solidFill>
                <a:schemeClr val="lt1"/>
              </a:solidFill>
              <a:effectLst/>
              <a:latin typeface="+mn-lt"/>
              <a:ea typeface="+mn-ea"/>
              <a:cs typeface="+mn-cs"/>
            </a:rPr>
            <a:t>- His customer base was Company I</a:t>
          </a:r>
          <a:endParaRPr lang="en-NG">
            <a:effectLst/>
          </a:endParaRPr>
        </a:p>
        <a:p>
          <a:endParaRPr lang="en-US" sz="1100" b="0" i="0" baseline="0">
            <a:solidFill>
              <a:schemeClr val="lt1"/>
            </a:solidFill>
            <a:effectLst/>
            <a:latin typeface="+mn-lt"/>
            <a:ea typeface="+mn-ea"/>
            <a:cs typeface="+mn-cs"/>
          </a:endParaRPr>
        </a:p>
        <a:p>
          <a:endParaRPr lang="en-US" sz="1100" b="0" i="0" baseline="0">
            <a:solidFill>
              <a:schemeClr val="lt1"/>
            </a:solidFill>
            <a:effectLst/>
            <a:latin typeface="+mn-lt"/>
            <a:ea typeface="+mn-ea"/>
            <a:cs typeface="+mn-cs"/>
          </a:endParaRPr>
        </a:p>
        <a:p>
          <a:endParaRPr lang="en-NG">
            <a:effectLst/>
          </a:endParaRPr>
        </a:p>
        <a:p>
          <a:endParaRPr lang="en-NG">
            <a:effectLst/>
          </a:endParaRPr>
        </a:p>
      </xdr:txBody>
    </xdr:sp>
    <xdr:clientData/>
  </xdr:twoCellAnchor>
  <xdr:twoCellAnchor>
    <xdr:from>
      <xdr:col>11</xdr:col>
      <xdr:colOff>29287</xdr:colOff>
      <xdr:row>2</xdr:row>
      <xdr:rowOff>174000</xdr:rowOff>
    </xdr:from>
    <xdr:to>
      <xdr:col>21</xdr:col>
      <xdr:colOff>209205</xdr:colOff>
      <xdr:row>79</xdr:row>
      <xdr:rowOff>1</xdr:rowOff>
    </xdr:to>
    <xdr:sp macro="" textlink="">
      <xdr:nvSpPr>
        <xdr:cNvPr id="13" name="Rectangle: Rounded Corners 12">
          <a:extLst>
            <a:ext uri="{FF2B5EF4-FFF2-40B4-BE49-F238E27FC236}">
              <a16:creationId xmlns:a16="http://schemas.microsoft.com/office/drawing/2014/main" id="{259FABED-1C1C-9DF6-8B96-64DF9319BB62}"/>
            </a:ext>
          </a:extLst>
        </xdr:cNvPr>
        <xdr:cNvSpPr/>
      </xdr:nvSpPr>
      <xdr:spPr>
        <a:xfrm>
          <a:off x="7213858" y="547224"/>
          <a:ext cx="6711347" cy="14195144"/>
        </a:xfrm>
        <a:prstGeom prst="roundRect">
          <a:avLst>
            <a:gd name="adj" fmla="val 4720"/>
          </a:avLst>
        </a:prstGeom>
        <a:solidFill>
          <a:schemeClr val="accent1">
            <a:lumMod val="50000"/>
          </a:schemeClr>
        </a:solidFill>
        <a:ln>
          <a:noFill/>
        </a:ln>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ctr"/>
          <a:r>
            <a:rPr lang="en-US" sz="1100" b="1" baseline="0">
              <a:solidFill>
                <a:schemeClr val="bg1"/>
              </a:solidFill>
            </a:rPr>
            <a:t>POST-ANALYSIS INSIGHTS</a:t>
          </a:r>
          <a:endParaRPr lang="en-US" sz="1100" b="1">
            <a:solidFill>
              <a:schemeClr val="bg1"/>
            </a:solidFill>
          </a:endParaRPr>
        </a:p>
        <a:p>
          <a:r>
            <a:rPr lang="en-US" b="1"/>
            <a:t>Regional Revenue Concentration &amp; Imbalance</a:t>
          </a:r>
        </a:p>
        <a:p>
          <a:r>
            <a:rPr lang="en-US" b="1"/>
            <a:t>Observation Insight</a:t>
          </a:r>
        </a:p>
        <a:p>
          <a:r>
            <a:rPr lang="en-US"/>
            <a:t>Northern and Eastern regions have multiple high-performing reps (Nancy, Michael, Andrew, Laura).</a:t>
          </a:r>
        </a:p>
        <a:p>
          <a:r>
            <a:rPr lang="en-US"/>
            <a:t>Western region has multiple reps (Jan, Mariya, Robert) but mixed-to-low performance.</a:t>
          </a:r>
        </a:p>
        <a:p>
          <a:r>
            <a:rPr lang="en-US"/>
            <a:t>Southern region is primarily driven by Anne Larsen.</a:t>
          </a:r>
        </a:p>
        <a:p>
          <a:r>
            <a:rPr lang="en-US" b="1"/>
            <a:t>Board-Level Insight</a:t>
          </a:r>
        </a:p>
        <a:p>
          <a:r>
            <a:rPr lang="en-US"/>
            <a:t>Revenue performance is uneven across regions, with stronger output in the North and East, while the West shows underperformance despite similar rep allocation.</a:t>
          </a:r>
        </a:p>
        <a:p>
          <a:r>
            <a:rPr lang="en-US" b="1"/>
            <a:t>Strategic Recommendation</a:t>
          </a:r>
        </a:p>
        <a:p>
          <a:r>
            <a:rPr lang="en-US"/>
            <a:t>Conduct a </a:t>
          </a:r>
          <a:r>
            <a:rPr lang="en-US" b="1"/>
            <a:t>Western region performance diagnostic</a:t>
          </a:r>
          <a:r>
            <a:rPr lang="en-US"/>
            <a:t> (market demand vs sales execution issue).</a:t>
          </a:r>
        </a:p>
        <a:p>
          <a:r>
            <a:rPr lang="en-US"/>
            <a:t>Consider redistributing high-performing strategies from Northern reps to Western reps.</a:t>
          </a:r>
        </a:p>
        <a:p>
          <a:r>
            <a:rPr lang="en-US"/>
            <a:t>Evaluate regional marketing support alignment.</a:t>
          </a:r>
        </a:p>
        <a:p>
          <a:endParaRPr lang="en-US"/>
        </a:p>
        <a:p>
          <a:r>
            <a:rPr lang="en-US" b="1"/>
            <a:t>Category Specialization Drives Salesperson Success</a:t>
          </a:r>
        </a:p>
        <a:p>
          <a:r>
            <a:rPr lang="en-US" b="1"/>
            <a:t>Observation Insight</a:t>
          </a:r>
        </a:p>
        <a:p>
          <a:r>
            <a:rPr lang="en-US"/>
            <a:t>High performers (Nancy, Anne, Michael) are heavily aligned with </a:t>
          </a:r>
          <a:r>
            <a:rPr lang="en-US" b="1"/>
            <a:t>Beverages and Sauces</a:t>
          </a:r>
          <a:r>
            <a:rPr lang="en-US"/>
            <a:t>, which are top-performing categories company-wide.</a:t>
          </a:r>
        </a:p>
        <a:p>
          <a:r>
            <a:rPr lang="en-US"/>
            <a:t>Lower performers tend to rely on weaker or niche categories (Candy, Soups, Dairy).</a:t>
          </a:r>
        </a:p>
        <a:p>
          <a:r>
            <a:rPr lang="en-US" b="1"/>
            <a:t>Board-Level Insight</a:t>
          </a:r>
        </a:p>
        <a:p>
          <a:r>
            <a:rPr lang="en-US"/>
            <a:t>Sales success strongly correlates with alignment to high-performing product categories, particularly Beverages and Sauces.</a:t>
          </a:r>
        </a:p>
        <a:p>
          <a:r>
            <a:rPr lang="en-US" b="1"/>
            <a:t>Strategic Recommendation</a:t>
          </a:r>
        </a:p>
        <a:p>
          <a:r>
            <a:rPr lang="en-US"/>
            <a:t>Standardize category focus: Encourage all reps to prioritize high-margin/high-demand categories.</a:t>
          </a:r>
        </a:p>
        <a:p>
          <a:r>
            <a:rPr lang="en-US"/>
            <a:t>Introduce cross-category selling incentives.</a:t>
          </a:r>
        </a:p>
        <a:p>
          <a:r>
            <a:rPr lang="en-US"/>
            <a:t>Provide product training in top revenue categories.</a:t>
          </a:r>
        </a:p>
        <a:p>
          <a:endParaRPr lang="en-US"/>
        </a:p>
        <a:p>
          <a:r>
            <a:rPr lang="en-US" b="1"/>
            <a:t>Revenue Concentration Risk – Customer Dependency</a:t>
          </a:r>
        </a:p>
        <a:p>
          <a:r>
            <a:rPr lang="en-US" b="1"/>
            <a:t>Observation Insight</a:t>
          </a:r>
        </a:p>
        <a:p>
          <a:r>
            <a:rPr lang="en-US"/>
            <a:t>Several reps depend heavily on </a:t>
          </a:r>
          <a:r>
            <a:rPr lang="en-US" b="1"/>
            <a:t>one dominant customer</a:t>
          </a:r>
          <a:r>
            <a:rPr lang="en-US"/>
            <a:t>:</a:t>
          </a:r>
        </a:p>
        <a:p>
          <a:r>
            <a:rPr lang="en-US"/>
            <a:t>Andrew → Company D</a:t>
          </a:r>
        </a:p>
        <a:p>
          <a:r>
            <a:rPr lang="en-US"/>
            <a:t>Michael → Company F</a:t>
          </a:r>
        </a:p>
        <a:p>
          <a:r>
            <a:rPr lang="en-US"/>
            <a:t>Jan → Company CC</a:t>
          </a:r>
        </a:p>
        <a:p>
          <a:r>
            <a:rPr lang="en-US"/>
            <a:t>Robert → Company I</a:t>
          </a:r>
        </a:p>
        <a:p>
          <a:r>
            <a:rPr lang="en-US"/>
            <a:t>Meanwhile, top performers (Nancy, Mariya, Anne) have </a:t>
          </a:r>
          <a:r>
            <a:rPr lang="en-US" b="1"/>
            <a:t>diversified top customers</a:t>
          </a:r>
          <a:r>
            <a:rPr lang="en-US"/>
            <a:t>.</a:t>
          </a:r>
        </a:p>
        <a:p>
          <a:r>
            <a:rPr lang="en-US" b="1"/>
            <a:t>Board-Level Insight</a:t>
          </a:r>
        </a:p>
        <a:p>
          <a:r>
            <a:rPr lang="en-US"/>
            <a:t>Customer concentration risk exists among several sales reps, creating revenue vulnerability if key accounts churn.</a:t>
          </a:r>
        </a:p>
        <a:p>
          <a:r>
            <a:rPr lang="en-US" b="1"/>
            <a:t>Strategic Recommendation</a:t>
          </a:r>
        </a:p>
        <a:p>
          <a:r>
            <a:rPr lang="en-US"/>
            <a:t>Implement account diversification KPIs.</a:t>
          </a:r>
        </a:p>
        <a:p>
          <a:r>
            <a:rPr lang="en-US"/>
            <a:t>Encourage acquisition of at least 2–3 high-value accounts per rep.</a:t>
          </a:r>
        </a:p>
        <a:p>
          <a:r>
            <a:rPr lang="en-US"/>
            <a:t>Strengthen retention programs for top enterprise clients.</a:t>
          </a:r>
        </a:p>
        <a:p>
          <a:endParaRPr lang="en-US"/>
        </a:p>
        <a:p>
          <a:r>
            <a:rPr lang="en-US" b="1"/>
            <a:t>Seasonality Pattern Identified</a:t>
          </a:r>
        </a:p>
        <a:p>
          <a:r>
            <a:rPr lang="en-US" b="1"/>
            <a:t>Observation Insight</a:t>
          </a:r>
        </a:p>
        <a:p>
          <a:r>
            <a:rPr lang="en-US"/>
            <a:t>December appears repeatedly as peak month (Nancy, Anne, Mariya, Jan).</a:t>
          </a:r>
        </a:p>
        <a:p>
          <a:r>
            <a:rPr lang="en-US"/>
            <a:t>October and June are secondary strong months.</a:t>
          </a:r>
        </a:p>
        <a:p>
          <a:r>
            <a:rPr lang="en-US"/>
            <a:t>February and April consistently appear as low months.</a:t>
          </a:r>
        </a:p>
        <a:p>
          <a:r>
            <a:rPr lang="en-US" b="1"/>
            <a:t>Board-Level Insight</a:t>
          </a:r>
        </a:p>
        <a:p>
          <a:r>
            <a:rPr lang="en-US"/>
            <a:t>Revenue demonstrates strong seasonality, with Q4 (especially December) driving peak performance, while Q1 and early Q2 lag significantly.</a:t>
          </a:r>
        </a:p>
        <a:p>
          <a:r>
            <a:rPr lang="en-US" b="1"/>
            <a:t>Strategic Recommendation</a:t>
          </a:r>
        </a:p>
        <a:p>
          <a:r>
            <a:rPr lang="en-US"/>
            <a:t>Increase promotional intensity in February and April to smooth revenue volatility.</a:t>
          </a:r>
        </a:p>
        <a:p>
          <a:r>
            <a:rPr lang="en-US"/>
            <a:t>Prepare inventory and staffing scale-up for Q4.</a:t>
          </a:r>
        </a:p>
        <a:p>
          <a:r>
            <a:rPr lang="en-US"/>
            <a:t>Introduce early-year incentive campaigns to offset seasonal dips.</a:t>
          </a:r>
        </a:p>
        <a:p>
          <a:endParaRPr lang="en-US"/>
        </a:p>
        <a:p>
          <a:r>
            <a:rPr lang="en-US" b="1"/>
            <a:t>Performance Gap Between Top &amp; Bottom Sales Reps</a:t>
          </a:r>
        </a:p>
        <a:p>
          <a:r>
            <a:rPr lang="en-US" b="1"/>
            <a:t>Observation Insight</a:t>
          </a:r>
        </a:p>
        <a:p>
          <a:r>
            <a:rPr lang="en-US"/>
            <a:t>Nancy significantly outperforms peers.</a:t>
          </a:r>
        </a:p>
        <a:p>
          <a:r>
            <a:rPr lang="en-US"/>
            <a:t>Jan is consistently the lowest performer.</a:t>
          </a:r>
        </a:p>
        <a:p>
          <a:r>
            <a:rPr lang="en-US"/>
            <a:t>Mid-tier reps show moderate but inconsistent performance.</a:t>
          </a:r>
        </a:p>
        <a:p>
          <a:r>
            <a:rPr lang="en-US" b="1"/>
            <a:t>Board-Level Insight</a:t>
          </a:r>
        </a:p>
        <a:p>
          <a:r>
            <a:rPr lang="en-US"/>
            <a:t>A noticeable performance gap exists within the sales team, indicating uneven productivity and opportunity for structured optimization.</a:t>
          </a:r>
        </a:p>
        <a:p>
          <a:r>
            <a:rPr lang="en-US" b="1"/>
            <a:t>Strategic Recommendation</a:t>
          </a:r>
        </a:p>
        <a:p>
          <a:r>
            <a:rPr lang="en-US"/>
            <a:t>Benchmark Nancy’s sales methodology and replicate best practices.</a:t>
          </a:r>
        </a:p>
        <a:p>
          <a:r>
            <a:rPr lang="en-US"/>
            <a:t>Introduce structured coaching for low performers.</a:t>
          </a:r>
        </a:p>
        <a:p>
          <a:r>
            <a:rPr lang="en-US"/>
            <a:t>Implement performance-based incentive tiers.</a:t>
          </a:r>
        </a:p>
        <a:p>
          <a:endParaRPr lang="en-US"/>
        </a:p>
        <a:p>
          <a:r>
            <a:rPr lang="en-US" b="1"/>
            <a:t> Product-Region Alignment Opportunity</a:t>
          </a:r>
        </a:p>
        <a:p>
          <a:r>
            <a:rPr lang="en-US" b="1"/>
            <a:t>Observation Insight</a:t>
          </a:r>
        </a:p>
        <a:p>
          <a:r>
            <a:rPr lang="en-US"/>
            <a:t>Different reps dominate different categories in different regions:</a:t>
          </a:r>
        </a:p>
        <a:p>
          <a:r>
            <a:rPr lang="en-US"/>
            <a:t>Western reps strong in Sauces &amp; Dairy</a:t>
          </a:r>
        </a:p>
        <a:p>
          <a:r>
            <a:rPr lang="en-US"/>
            <a:t>Northern reps strong in Beverages</a:t>
          </a:r>
        </a:p>
        <a:p>
          <a:r>
            <a:rPr lang="en-US"/>
            <a:t>Eastern reps diversified</a:t>
          </a:r>
        </a:p>
        <a:p>
          <a:r>
            <a:rPr lang="en-US" b="1"/>
            <a:t>Board-Level Insight</a:t>
          </a:r>
        </a:p>
        <a:p>
          <a:r>
            <a:rPr lang="en-US"/>
            <a:t>There is opportunity to align high-performing product categories with high-performing regions to maximize revenue yield.</a:t>
          </a:r>
        </a:p>
        <a:p>
          <a:r>
            <a:rPr lang="en-US" b="1"/>
            <a:t>Strategic Recommendation</a:t>
          </a:r>
        </a:p>
        <a:p>
          <a:r>
            <a:rPr lang="en-US"/>
            <a:t>Align top categories (Beverages, Sauces) more aggressively in high-performing regions.</a:t>
          </a:r>
        </a:p>
        <a:p>
          <a:r>
            <a:rPr lang="en-US"/>
            <a:t>Reassess product-market fit in weaker regional-category combinations.</a:t>
          </a:r>
        </a:p>
        <a:p>
          <a:endParaRPr lang="en-NG">
            <a:effectLst/>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ersons/person0.xml><?xml version="1.0" encoding="utf-8"?>
<personList xmlns="http://schemas.microsoft.com/office/spreadsheetml/2018/threadedcomments" xmlns:x="http://schemas.openxmlformats.org/spreadsheetml/2006/main"/>
</file>

<file path=xl/persons/person1.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vis Austin" refreshedDate="46055.59168229167" createdVersion="8" refreshedVersion="8" minRefreshableVersion="3" recordCount="369" xr:uid="{009395D4-77F2-45C0-A5D9-1D3B39127715}">
  <cacheSource type="worksheet">
    <worksheetSource ref="A1:Z370" sheet="Data (2)"/>
  </cacheSource>
  <cacheFields count="28">
    <cacheField name="Order ID" numFmtId="0">
      <sharedItems containsSemiMixedTypes="0" containsString="0" containsNumber="1" containsInteger="1" minValue="1001" maxValue="1432"/>
    </cacheField>
    <cacheField name="Order Date" numFmtId="165">
      <sharedItems containsSemiMixedTypes="0" containsNonDate="0" containsDate="1" containsString="0" minDate="2014-01-01T00:00:00" maxDate="2014-12-30T00:00:00" count="149">
        <d v="2014-01-27T00:00:00"/>
        <d v="2014-01-04T00:00:00"/>
        <d v="2014-01-12T00:00:00"/>
        <d v="2014-01-08T00:00:00"/>
        <d v="2014-01-29T00:00:00"/>
        <d v="2014-01-03T00:00:00"/>
        <d v="2014-01-06T00:00:00"/>
        <d v="2014-01-28T00:00:00"/>
        <d v="2014-01-10T00:00:00"/>
        <d v="2014-01-07T00:00:00"/>
        <d v="2014-01-11T00:00:00"/>
        <d v="2014-01-01T00:00:00"/>
        <d v="2014-01-09T00:00:00"/>
        <d v="2014-02-08T00:00:00"/>
        <d v="2014-02-03T00:00:00"/>
        <d v="2014-02-06T00:00:00"/>
        <d v="2014-02-28T00:00:00"/>
        <d v="2014-02-10T00:00:00"/>
        <d v="2014-02-11T00:00:00"/>
        <d v="2014-02-01T00:00:00"/>
        <d v="2014-02-09T00:00:00"/>
        <d v="2014-02-25T00:00:00"/>
        <d v="2014-02-26T00:00:00"/>
        <d v="2014-03-01T00:00:00"/>
        <d v="2014-02-04T00:00:00"/>
        <d v="2014-03-09T00:00:00"/>
        <d v="2014-03-06T00:00:00"/>
        <d v="2014-03-08T00:00:00"/>
        <d v="2014-03-25T00:00:00"/>
        <d v="2014-03-26T00:00:00"/>
        <d v="2014-03-29T00:00:00"/>
        <d v="2014-03-04T00:00:00"/>
        <d v="2014-03-03T00:00:00"/>
        <d v="2014-03-10T00:00:00"/>
        <d v="2014-03-11T00:00:00"/>
        <d v="2014-03-28T00:00:00"/>
        <d v="2014-04-04T00:00:00"/>
        <d v="2014-04-12T00:00:00"/>
        <d v="2014-04-08T00:00:00"/>
        <d v="2014-04-29T00:00:00"/>
        <d v="2014-04-03T00:00:00"/>
        <d v="2014-04-06T00:00:00"/>
        <d v="2014-04-28T00:00:00"/>
        <d v="2014-04-10T00:00:00"/>
        <d v="2014-04-07T00:00:00"/>
        <d v="2014-04-11T00:00:00"/>
        <d v="2014-04-01T00:00:00"/>
        <d v="2014-05-29T00:00:00"/>
        <d v="2014-05-03T00:00:00"/>
        <d v="2014-05-06T00:00:00"/>
        <d v="2014-05-28T00:00:00"/>
        <d v="2014-05-08T00:00:00"/>
        <d v="2014-05-10T00:00:00"/>
        <d v="2014-05-07T00:00:00"/>
        <d v="2014-05-11T00:00:00"/>
        <d v="2014-05-01T00:00:00"/>
        <d v="2014-05-09T00:00:00"/>
        <d v="2014-05-25T00:00:00"/>
        <d v="2014-05-26T00:00:00"/>
        <d v="2014-05-04T00:00:00"/>
        <d v="2014-06-07T00:00:00"/>
        <d v="2014-06-10T00:00:00"/>
        <d v="2014-06-11T00:00:00"/>
        <d v="2014-06-01T00:00:00"/>
        <d v="2014-06-28T00:00:00"/>
        <d v="2014-06-09T00:00:00"/>
        <d v="2014-06-06T00:00:00"/>
        <d v="2014-06-08T00:00:00"/>
        <d v="2014-06-25T00:00:00"/>
        <d v="2014-06-26T00:00:00"/>
        <d v="2014-06-29T00:00:00"/>
        <d v="2014-06-04T00:00:00"/>
        <d v="2014-06-03T00:00:00"/>
        <d v="2014-07-01T00:00:00"/>
        <d v="2014-07-28T00:00:00"/>
        <d v="2014-07-09T00:00:00"/>
        <d v="2014-07-06T00:00:00"/>
        <d v="2014-07-08T00:00:00"/>
        <d v="2014-07-25T00:00:00"/>
        <d v="2014-07-26T00:00:00"/>
        <d v="2014-07-29T00:00:00"/>
        <d v="2014-07-04T00:00:00"/>
        <d v="2014-07-03T00:00:00"/>
        <d v="2014-07-10T00:00:00"/>
        <d v="2014-07-11T00:00:00"/>
        <d v="2014-08-28T00:00:00"/>
        <d v="2014-08-08T00:00:00"/>
        <d v="2014-08-10T00:00:00"/>
        <d v="2014-08-07T00:00:00"/>
        <d v="2014-08-11T00:00:00"/>
        <d v="2014-08-01T00:00:00"/>
        <d v="2014-08-09T00:00:00"/>
        <d v="2014-08-06T00:00:00"/>
        <d v="2014-08-25T00:00:00"/>
        <d v="2014-08-26T00:00:00"/>
        <d v="2014-08-29T00:00:00"/>
        <d v="2014-08-04T00:00:00"/>
        <d v="2014-09-10T00:00:00"/>
        <d v="2014-09-11T00:00:00"/>
        <d v="2014-09-01T00:00:00"/>
        <d v="2014-09-28T00:00:00"/>
        <d v="2014-09-09T00:00:00"/>
        <d v="2014-09-06T00:00:00"/>
        <d v="2014-09-08T00:00:00"/>
        <d v="2014-09-25T00:00:00"/>
        <d v="2014-09-26T00:00:00"/>
        <d v="2014-09-29T00:00:00"/>
        <d v="2014-09-04T00:00:00"/>
        <d v="2014-09-03T00:00:00"/>
        <d v="2014-10-06T00:00:00"/>
        <d v="2014-10-28T00:00:00"/>
        <d v="2014-10-08T00:00:00"/>
        <d v="2014-10-10T00:00:00"/>
        <d v="2014-10-07T00:00:00"/>
        <d v="2014-10-11T00:00:00"/>
        <d v="2014-10-01T00:00:00"/>
        <d v="2014-10-09T00:00:00"/>
        <d v="2014-10-25T00:00:00"/>
        <d v="2014-10-26T00:00:00"/>
        <d v="2014-10-29T00:00:00"/>
        <d v="2014-10-04T00:00:00"/>
        <d v="2014-10-03T00:00:00"/>
        <d v="2014-11-10T00:00:00"/>
        <d v="2014-11-11T00:00:00"/>
        <d v="2014-11-01T00:00:00"/>
        <d v="2014-11-28T00:00:00"/>
        <d v="2014-11-09T00:00:00"/>
        <d v="2014-11-06T00:00:00"/>
        <d v="2014-11-08T00:00:00"/>
        <d v="2014-11-25T00:00:00"/>
        <d v="2014-11-26T00:00:00"/>
        <d v="2014-11-29T00:00:00"/>
        <d v="2014-11-04T00:00:00"/>
        <d v="2014-11-03T00:00:00"/>
        <d v="2014-12-27T00:00:00"/>
        <d v="2014-12-04T00:00:00"/>
        <d v="2014-12-12T00:00:00"/>
        <d v="2014-12-08T00:00:00"/>
        <d v="2014-12-29T00:00:00"/>
        <d v="2014-12-03T00:00:00"/>
        <d v="2014-12-06T00:00:00"/>
        <d v="2014-12-28T00:00:00"/>
        <d v="2014-12-10T00:00:00"/>
        <d v="2014-12-07T00:00:00"/>
        <d v="2014-12-11T00:00:00"/>
        <d v="2014-12-01T00:00:00"/>
        <d v="2014-12-09T00:00:00"/>
        <d v="2014-12-25T00:00:00"/>
        <d v="2014-12-26T00:00:00"/>
      </sharedItems>
      <fieldGroup par="27"/>
    </cacheField>
    <cacheField name="Customer ID" numFmtId="0">
      <sharedItems containsSemiMixedTypes="0" containsString="0" containsNumber="1" containsInteger="1" minValue="1" maxValue="29" count="15">
        <n v="27"/>
        <n v="4"/>
        <n v="12"/>
        <n v="8"/>
        <n v="29"/>
        <n v="3"/>
        <n v="6"/>
        <n v="28"/>
        <n v="10"/>
        <n v="7"/>
        <n v="11"/>
        <n v="1"/>
        <n v="9"/>
        <n v="25"/>
        <n v="26"/>
      </sharedItems>
    </cacheField>
    <cacheField name="Customer Name" numFmtId="0">
      <sharedItems count="15">
        <s v="Company AA"/>
        <s v="Company D"/>
        <s v="Company L"/>
        <s v="Company H"/>
        <s v="Company CC"/>
        <s v="Company C"/>
        <s v="Company F"/>
        <s v="Company BB"/>
        <s v="Company J"/>
        <s v="Company G"/>
        <s v="Company K"/>
        <s v="Company A"/>
        <s v="Company I"/>
        <s v="Company Y"/>
        <s v="Company Z"/>
      </sharedItems>
    </cacheField>
    <cacheField name="Address" numFmtId="0">
      <sharedItems/>
    </cacheField>
    <cacheField name="City" numFmtId="0">
      <sharedItems count="12">
        <s v="Las Vegas"/>
        <s v="New York"/>
        <s v="Portland"/>
        <s v="Denver"/>
        <s v="Los Angelas"/>
        <s v="Milwaukee"/>
        <s v="Memphis"/>
        <s v="Chicago"/>
        <s v="Boise"/>
        <s v="Miami"/>
        <s v="Seattle"/>
        <s v="Salt Lake City"/>
      </sharedItems>
    </cacheField>
    <cacheField name="State" numFmtId="0">
      <sharedItems count="12">
        <s v="NV"/>
        <s v="NY"/>
        <s v="OR"/>
        <s v="CO"/>
        <s v="CA"/>
        <s v="WI"/>
        <s v="TN"/>
        <s v="IL"/>
        <s v="ID"/>
        <s v="FL"/>
        <s v="WA"/>
        <s v="UT"/>
      </sharedItems>
    </cacheField>
    <cacheField name="ZIP/Postal Code" numFmtId="0">
      <sharedItems containsSemiMixedTypes="0" containsString="0" containsNumber="1" containsInteger="1" minValue="99999" maxValue="99999"/>
    </cacheField>
    <cacheField name="Country/Region" numFmtId="0">
      <sharedItems/>
    </cacheField>
    <cacheField name="Salesperson" numFmtId="0">
      <sharedItems count="8">
        <s v="Mariya Sergienko"/>
        <s v="Andrew Cencini"/>
        <s v="Nancy Freehafer"/>
        <s v="Jan Kotas"/>
        <s v="Michael Neipper"/>
        <s v="Anne Larsen"/>
        <s v="Laura Giussani"/>
        <s v="Robert Zare"/>
      </sharedItems>
    </cacheField>
    <cacheField name="Region" numFmtId="0">
      <sharedItems count="4">
        <s v="West"/>
        <s v="East"/>
        <s v="North"/>
        <s v="South"/>
      </sharedItems>
    </cacheField>
    <cacheField name="Shipped Date" numFmtId="0">
      <sharedItems containsDate="1" containsString="0" containsBlank="1" containsMixedTypes="1" minDate="2014-01-05T00:00:00" maxDate="2014-12-09T00:00:00"/>
    </cacheField>
    <cacheField name="Shipper Name" numFmtId="0">
      <sharedItems containsBlank="1"/>
    </cacheField>
    <cacheField name="Ship Name" numFmtId="0">
      <sharedItems/>
    </cacheField>
    <cacheField name="Ship Address" numFmtId="0">
      <sharedItems/>
    </cacheField>
    <cacheField name="Ship City" numFmtId="0">
      <sharedItems count="12">
        <s v="Las Vegas"/>
        <s v="New York"/>
        <s v="Portland"/>
        <s v="Denver"/>
        <s v="Los Angelas"/>
        <s v="Milwaukee"/>
        <s v="Memphis"/>
        <s v="Chicago"/>
        <s v="Boise"/>
        <s v="Miami"/>
        <s v="Seattle"/>
        <s v="Salt Lake City"/>
      </sharedItems>
    </cacheField>
    <cacheField name="Ship State" numFmtId="0">
      <sharedItems/>
    </cacheField>
    <cacheField name="Ship ZIP/Postal Code" numFmtId="0">
      <sharedItems containsSemiMixedTypes="0" containsString="0" containsNumber="1" containsInteger="1" minValue="99999" maxValue="99999"/>
    </cacheField>
    <cacheField name="Ship Country/Region" numFmtId="0">
      <sharedItems/>
    </cacheField>
    <cacheField name="Payment Type" numFmtId="0">
      <sharedItems containsBlank="1"/>
    </cacheField>
    <cacheField name="Product Name" numFmtId="0">
      <sharedItems containsBlank="1" count="25">
        <s v="Beer"/>
        <s v="Dried Plums"/>
        <s v="Dried Pears"/>
        <s v="Dried Apples"/>
        <s v="Chai"/>
        <s v="Coffee"/>
        <s v="Chocolate Biscuits Mix"/>
        <s v="Chocolate"/>
        <s v="Clam Chowder"/>
        <s v="Curry Sauce"/>
        <s v="Green Tea"/>
        <s v="Boysenberry Spread"/>
        <s v="Cajun Seasoning"/>
        <s v="Crab Meat"/>
        <s v="Ravioli"/>
        <s v="Mozzarella"/>
        <s v="Syrup"/>
        <m/>
        <s v="Almonds"/>
        <s v="Fruit Cocktail"/>
        <s v="Gnocchi"/>
        <s v="Scones"/>
        <s v="Olive Oil"/>
        <s v="Marmalade"/>
        <s v="Long Grain Rice"/>
      </sharedItems>
    </cacheField>
    <cacheField name="Category" numFmtId="0">
      <sharedItems count="16">
        <s v="Beverages"/>
        <s v="Dried Fruit &amp; Nuts"/>
        <s v="Baked Goods &amp; Mixes"/>
        <s v="Candy"/>
        <s v="Soups"/>
        <s v="Sauces"/>
        <s v="Jams, Preserves"/>
        <s v="Condiments"/>
        <s v="Canned Meat"/>
        <s v="Pasta"/>
        <s v="Dairy Products"/>
        <s v="(Shipping Fee error)"/>
        <s v="Fruit &amp; Veg"/>
        <s v="Oil"/>
        <s v="Grains"/>
        <s v="Shipping Fee " u="1"/>
      </sharedItems>
    </cacheField>
    <cacheField name="Unit Price" numFmtId="0">
      <sharedItems containsString="0" containsBlank="1" containsNumber="1" minValue="2.99" maxValue="81"/>
    </cacheField>
    <cacheField name="Quantity" numFmtId="0">
      <sharedItems containsString="0" containsBlank="1" containsNumber="1" containsInteger="1" minValue="10" maxValue="100"/>
    </cacheField>
    <cacheField name="Revenue" numFmtId="166">
      <sharedItems containsSemiMixedTypes="0" containsString="0" containsNumber="1" minValue="10" maxValue="7938" count="315">
        <n v="686"/>
        <n v="164.5"/>
        <n v="2070"/>
        <n v="4717"/>
        <n v="38.5"/>
        <n v="1458"/>
        <n v="2024"/>
        <n v="349.59999999999997"/>
        <n v="809.59999999999991"/>
        <n v="1198.5"/>
        <n v="878.15"/>
        <n v="1280"/>
        <n v="2530"/>
        <n v="599.25"/>
        <n v="269.10000000000002"/>
        <n v="1104"/>
        <n v="850"/>
        <n v="374"/>
        <n v="404.79999999999995"/>
        <n v="283.5"/>
        <n v="146.51000000000002"/>
        <n v="756"/>
        <n v="2668"/>
        <n v="200.33"/>
        <n v="965"/>
        <n v="1159.1999999999998"/>
        <n v="1111.5"/>
        <n v="2818.7999999999997"/>
        <n v="994"/>
        <n v="630"/>
        <n v="1200"/>
        <n v="10"/>
        <n v="470"/>
        <n v="171.5"/>
        <n v="2880"/>
        <n v="239.2"/>
        <n v="1472"/>
        <n v="260.55"/>
        <n v="905.25"/>
        <n v="165.75"/>
        <n v="2156"/>
        <n v="525"/>
        <n v="1014"/>
        <n v="848"/>
        <n v="3648"/>
        <n v="224.25000000000003"/>
        <n v="1072.5"/>
        <n v="382.79999999999995"/>
        <n v="742"/>
        <n v="3400"/>
        <n v="892.4"/>
        <n v="460"/>
        <n v="2070.9500000000003"/>
        <n v="936.05000000000007"/>
        <n v="1196"/>
        <n v="1008"/>
        <n v="204"/>
        <n v="6237"/>
        <n v="259"/>
        <n v="2192.3999999999996"/>
        <n v="480"/>
        <n v="2840"/>
        <n v="550"/>
        <n v="73.5"/>
        <n v="2680"/>
        <n v="1380"/>
        <n v="782"/>
        <n v="168"/>
        <n v="1332"/>
        <n v="4416"/>
        <n v="110.39999999999999"/>
        <n v="570.4"/>
        <n v="446.25"/>
        <n v="916.75"/>
        <n v="680"/>
        <n v="1058.25"/>
        <n v="263.12"/>
        <n v="2714"/>
        <n v="675"/>
        <n v="814"/>
        <n v="690"/>
        <n v="248.5"/>
        <n v="990"/>
        <n v="178.5"/>
        <n v="414.95"/>
        <n v="2520"/>
        <n v="1656"/>
        <n v="522.75"/>
        <n v="104.65"/>
        <n v="1426"/>
        <n v="1300"/>
        <n v="660"/>
        <n v="377.2"/>
        <n v="154"/>
        <n v="230.23000000000002"/>
        <n v="522"/>
        <n v="3542"/>
        <n v="218.27"/>
        <n v="714.1"/>
        <n v="459.99999999999994"/>
        <n v="1599"/>
        <n v="1287.5999999999999"/>
        <n v="1176"/>
        <n v="2920"/>
        <n v="469.2"/>
        <n v="768.6"/>
        <n v="839.55000000000007"/>
        <n v="1177.5999999999999"/>
        <n v="294"/>
        <n v="242.25"/>
        <n v="1863"/>
        <n v="504"/>
        <n v="765.59999999999991"/>
        <n v="820"/>
        <n v="3920"/>
        <n v="3266"/>
        <n v="1000"/>
        <n v="1760"/>
        <n v="98"/>
        <n v="179.4"/>
        <n v="594"/>
        <n v="1012"/>
        <n v="152.49"/>
        <n v="579"/>
        <n v="1803.1999999999998"/>
        <n v="526.5"/>
        <n v="3062.3999999999996"/>
        <n v="910"/>
        <n v="1520"/>
        <n v="736"/>
        <n v="490"/>
        <n v="1921.5000000000002"/>
        <n v="717.59999999999991"/>
        <n v="1106"/>
        <n v="561"/>
        <n v="7938"/>
        <n v="427"/>
        <n v="1044"/>
        <n v="240"/>
        <n v="1120"/>
        <n v="740"/>
        <n v="315"/>
        <n v="1080"/>
        <n v="1306.3999999999999"/>
        <n v="3404"/>
        <n v="733.4"/>
        <n v="1224"/>
        <n v="1173"/>
        <n v="2046"/>
        <n v="450"/>
        <n v="3822"/>
        <n v="3230"/>
        <n v="242.19000000000003"/>
        <n v="318.45"/>
        <n v="864.8"/>
        <n v="1189.5"/>
        <n v="939.59999999999991"/>
        <n v="3640"/>
        <n v="331.2"/>
        <n v="340"/>
        <n v="1729.3500000000001"/>
        <n v="241.25"/>
        <n v="220.79999999999998"/>
        <n v="322"/>
        <n v="969"/>
        <n v="4455"/>
        <n v="133"/>
        <n v="400"/>
        <n v="800"/>
        <n v="94.5"/>
        <n v="3880"/>
        <n v="772.8"/>
        <n v="868.5"/>
        <n v="357"/>
        <n v="1288"/>
        <n v="726.75"/>
        <n v="68.77000000000001"/>
        <n v="3956"/>
        <n v="1175"/>
        <n v="2134"/>
        <n v="883.19999999999993"/>
        <n v="108.5"/>
        <n v="155.48000000000002"/>
        <n v="1638"/>
        <n v="644"/>
        <n v="131.56"/>
        <n v="1287"/>
        <n v="1113.5999999999999"/>
        <n v="728"/>
        <n v="3120"/>
        <n v="496.79999999999995"/>
        <n v="1281"/>
        <n v="183.35"/>
        <n v="1214.3999999999999"/>
        <n v="588"/>
        <n v="918"/>
        <n v="2592"/>
        <n v="532"/>
        <n v="763.59999999999991"/>
        <n v="318.5"/>
        <n v="191.36"/>
        <n v="4462"/>
        <n v="41.86"/>
        <n v="656.2"/>
        <n v="588.79999999999995"/>
        <n v="936"/>
        <n v="1983.6"/>
        <n v="938"/>
        <n v="1920"/>
        <n v="708.4"/>
        <n v="940"/>
        <n v="1152.9000000000001"/>
        <n v="700"/>
        <n v="4374"/>
        <n v="273"/>
        <n v="710"/>
        <n v="3520"/>
        <n v="590"/>
        <n v="3760"/>
        <n v="777.75"/>
        <n v="95.68"/>
        <n v="2852"/>
        <n v="1500"/>
        <n v="1122"/>
        <n v="450.79999999999995"/>
        <n v="70"/>
        <n v="396"/>
        <n v="3358"/>
        <n v="254.15"/>
        <n v="424.6"/>
        <n v="441.59999999999997"/>
        <n v="1248"/>
        <n v="2436"/>
        <n v="1372"/>
        <n v="919.99999999999989"/>
        <n v="900"/>
        <n v="1046.1500000000001"/>
        <n v="685.15"/>
        <n v="184"/>
        <n v="1092"/>
        <n v="6642"/>
        <n v="203"/>
        <n v="3236.3999999999996"/>
        <n v="110"/>
        <n v="120"/>
        <n v="2400"/>
        <n v="423.2"/>
        <n v="1564"/>
        <n v="858.85"/>
        <n v="1045.5"/>
        <n v="548.25"/>
        <n v="2112"/>
        <n v="312.79999999999995"/>
        <n v="147"/>
        <n v="299"/>
        <n v="65.78"/>
        <n v="443.90000000000003"/>
        <n v="1839.9999999999998"/>
        <n v="1696.5"/>
        <n v="2018.3999999999999"/>
        <n v="1190"/>
        <n v="174.79999999999998"/>
        <n v="1473.15"/>
        <n v="357.05"/>
        <n v="191.25"/>
        <n v="4212"/>
        <n v="835.19999999999993"/>
        <n v="360"/>
        <n v="960"/>
        <n v="200"/>
        <n v="1398.3999999999999"/>
        <n v="2622"/>
        <n v="135.1"/>
        <n v="196"/>
        <n v="245"/>
        <n v="3000"/>
        <n v="1431"/>
        <n v="1026"/>
        <n v="3818"/>
        <n v="699.19999999999993"/>
        <n v="926.40000000000009"/>
        <n v="122.59"/>
        <n v="1886"/>
        <n v="2350"/>
        <n v="440"/>
        <n v="119.6"/>
        <n v="158.47"/>
        <n v="1782"/>
        <n v="4094"/>
        <n v="945.7"/>
        <n v="1582.3999999999999"/>
        <n v="390"/>
        <n v="2401.1999999999998"/>
        <n v="952"/>
        <n v="2080"/>
        <n v="368"/>
        <n v="1878.8000000000002"/>
        <n v="1711.1999999999998"/>
        <n v="1344"/>
        <n v="153"/>
        <n v="3078"/>
        <n v="3479.9999999999995"/>
        <n v="890"/>
        <n v="970"/>
        <n v="185.5"/>
        <n v="2440"/>
        <n v="827.99999999999989"/>
        <n v="1978"/>
        <n v="173.70000000000002"/>
        <n v="1430"/>
        <n v="325"/>
        <n v="2106"/>
        <n v="1802"/>
        <n v="2242"/>
        <n v="71.760000000000005"/>
      </sharedItems>
      <fieldGroup base="24">
        <rangePr autoStart="0" startNum="0" endNum="7938" groupInterval="1000"/>
        <groupItems count="10">
          <s v="&lt;0"/>
          <s v="0-1000"/>
          <s v="1000-2000"/>
          <s v="2000-3000"/>
          <s v="3000-4000"/>
          <s v="4000-5000"/>
          <s v="5000-6000"/>
          <s v="6000-7000"/>
          <s v="7000-8000"/>
          <s v="&gt;8000"/>
        </groupItems>
      </fieldGroup>
    </cacheField>
    <cacheField name="Shipping Fee" numFmtId="166">
      <sharedItems containsSemiMixedTypes="0" containsString="0" containsNumber="1" minValue="3.7345000000000002" maxValue="769.98599999999999"/>
    </cacheField>
    <cacheField name="Days (Order Date)" numFmtId="0" databaseField="0">
      <fieldGroup base="1">
        <rangePr groupBy="days" startDate="2014-01-01T00:00:00" endDate="2014-12-30T00:00:00"/>
        <groupItems count="368">
          <s v="&lt;1/1/201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30/2014"/>
        </groupItems>
      </fieldGroup>
    </cacheField>
    <cacheField name="Months (Order Date)" numFmtId="0" databaseField="0">
      <fieldGroup base="1">
        <rangePr groupBy="months" startDate="2014-01-01T00:00:00" endDate="2014-12-30T00:00:00"/>
        <groupItems count="14">
          <s v="&lt;1/1/2014"/>
          <s v="Jan"/>
          <s v="Feb"/>
          <s v="Mar"/>
          <s v="Apr"/>
          <s v="May"/>
          <s v="Jun"/>
          <s v="Jul"/>
          <s v="Aug"/>
          <s v="Sep"/>
          <s v="Oct"/>
          <s v="Nov"/>
          <s v="Dec"/>
          <s v="&gt;12/30/2014"/>
        </groupItems>
      </fieldGroup>
    </cacheField>
  </cacheFields>
  <extLst>
    <ext xmlns:x14="http://schemas.microsoft.com/office/spreadsheetml/2009/9/main" uri="{725AE2AE-9491-48be-B2B4-4EB974FC3084}">
      <x14:pivotCacheDefinition pivotCacheId="8551748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9">
  <r>
    <n v="1001"/>
    <x v="0"/>
    <x v="0"/>
    <x v="0"/>
    <s v="789 27th Street"/>
    <x v="0"/>
    <x v="0"/>
    <n v="99999"/>
    <s v="USA"/>
    <x v="0"/>
    <x v="0"/>
    <d v="2014-01-29T00:00:00"/>
    <s v="Shipping Company B"/>
    <s v="Karen Toh"/>
    <s v="789 27th Street"/>
    <x v="0"/>
    <s v="NV"/>
    <n v="99999"/>
    <s v="USA"/>
    <s v="Check"/>
    <x v="0"/>
    <x v="0"/>
    <n v="14"/>
    <n v="49"/>
    <x v="0"/>
    <n v="66.542000000000002"/>
  </r>
  <r>
    <n v="1002"/>
    <x v="0"/>
    <x v="0"/>
    <x v="0"/>
    <s v="789 27th Street"/>
    <x v="0"/>
    <x v="0"/>
    <n v="99999"/>
    <s v="USA"/>
    <x v="0"/>
    <x v="0"/>
    <d v="2014-01-29T00:00:00"/>
    <s v="Shipping Company B"/>
    <s v="Karen Toh"/>
    <s v="789 27th Street"/>
    <x v="0"/>
    <s v="NV"/>
    <n v="99999"/>
    <s v="USA"/>
    <s v="Check"/>
    <x v="1"/>
    <x v="1"/>
    <n v="3.5"/>
    <n v="47"/>
    <x v="1"/>
    <n v="16.6145"/>
  </r>
  <r>
    <n v="1003"/>
    <x v="1"/>
    <x v="1"/>
    <x v="1"/>
    <s v="123 4th Street"/>
    <x v="1"/>
    <x v="1"/>
    <n v="99999"/>
    <s v="USA"/>
    <x v="1"/>
    <x v="1"/>
    <d v="2014-01-06T00:00:00"/>
    <s v="Shipping Company A"/>
    <s v="Christina Lee"/>
    <s v="123 4th Street"/>
    <x v="1"/>
    <s v="NY"/>
    <n v="99999"/>
    <s v="USA"/>
    <s v="Credit Card"/>
    <x v="2"/>
    <x v="1"/>
    <n v="30"/>
    <n v="69"/>
    <x v="2"/>
    <n v="198.72"/>
  </r>
  <r>
    <n v="1004"/>
    <x v="1"/>
    <x v="1"/>
    <x v="1"/>
    <s v="123 4th Street"/>
    <x v="1"/>
    <x v="1"/>
    <n v="99999"/>
    <s v="USA"/>
    <x v="1"/>
    <x v="1"/>
    <d v="2014-01-06T00:00:00"/>
    <s v="Shipping Company A"/>
    <s v="Christina Lee"/>
    <s v="123 4th Street"/>
    <x v="1"/>
    <s v="NY"/>
    <n v="99999"/>
    <s v="USA"/>
    <s v="Credit Card"/>
    <x v="3"/>
    <x v="1"/>
    <n v="53"/>
    <n v="89"/>
    <x v="3"/>
    <n v="448.11500000000001"/>
  </r>
  <r>
    <n v="1005"/>
    <x v="1"/>
    <x v="1"/>
    <x v="1"/>
    <s v="123 4th Street"/>
    <x v="1"/>
    <x v="1"/>
    <n v="99999"/>
    <s v="USA"/>
    <x v="1"/>
    <x v="1"/>
    <d v="2014-01-06T00:00:00"/>
    <s v="Shipping Company A"/>
    <s v="Christina Lee"/>
    <s v="123 4th Street"/>
    <x v="1"/>
    <s v="NY"/>
    <n v="99999"/>
    <s v="USA"/>
    <s v="Credit Card"/>
    <x v="1"/>
    <x v="1"/>
    <n v="3.5"/>
    <n v="11"/>
    <x v="4"/>
    <n v="3.7345000000000002"/>
  </r>
  <r>
    <n v="1006"/>
    <x v="2"/>
    <x v="2"/>
    <x v="2"/>
    <s v="123 12th Street"/>
    <x v="0"/>
    <x v="0"/>
    <n v="99999"/>
    <s v="USA"/>
    <x v="0"/>
    <x v="0"/>
    <d v="2014-01-14T00:00:00"/>
    <s v="Shipping Company B"/>
    <s v="John Edwards"/>
    <s v="123 12th Street"/>
    <x v="0"/>
    <s v="NV"/>
    <n v="99999"/>
    <s v="USA"/>
    <s v="Credit Card"/>
    <x v="4"/>
    <x v="0"/>
    <n v="18"/>
    <n v="81"/>
    <x v="5"/>
    <n v="141.42600000000002"/>
  </r>
  <r>
    <n v="1007"/>
    <x v="2"/>
    <x v="2"/>
    <x v="2"/>
    <s v="123 12th Street"/>
    <x v="0"/>
    <x v="0"/>
    <n v="99999"/>
    <s v="USA"/>
    <x v="0"/>
    <x v="0"/>
    <d v="2014-01-14T00:00:00"/>
    <s v="Shipping Company B"/>
    <s v="John Edwards"/>
    <s v="123 12th Street"/>
    <x v="0"/>
    <s v="NV"/>
    <n v="99999"/>
    <s v="USA"/>
    <s v="Credit Card"/>
    <x v="5"/>
    <x v="0"/>
    <n v="46"/>
    <n v="44"/>
    <x v="6"/>
    <n v="198.352"/>
  </r>
  <r>
    <n v="1008"/>
    <x v="3"/>
    <x v="3"/>
    <x v="3"/>
    <s v="123 8th Street"/>
    <x v="2"/>
    <x v="2"/>
    <n v="99999"/>
    <s v="USA"/>
    <x v="2"/>
    <x v="2"/>
    <d v="2014-01-10T00:00:00"/>
    <s v="Shipping Company C"/>
    <s v="Elizabeth Andersen"/>
    <s v="123 8th Street"/>
    <x v="2"/>
    <s v="OR"/>
    <n v="99999"/>
    <s v="USA"/>
    <s v="Credit Card"/>
    <x v="6"/>
    <x v="2"/>
    <n v="9.1999999999999993"/>
    <n v="38"/>
    <x v="7"/>
    <n v="36.008800000000001"/>
  </r>
  <r>
    <n v="1009"/>
    <x v="1"/>
    <x v="1"/>
    <x v="1"/>
    <s v="123 4th Street"/>
    <x v="1"/>
    <x v="1"/>
    <n v="99999"/>
    <s v="USA"/>
    <x v="1"/>
    <x v="1"/>
    <d v="2014-01-06T00:00:00"/>
    <s v="Shipping Company C"/>
    <s v="Christina Lee"/>
    <s v="123 4th Street"/>
    <x v="1"/>
    <s v="NY"/>
    <n v="99999"/>
    <s v="USA"/>
    <s v="Check"/>
    <x v="6"/>
    <x v="2"/>
    <n v="9.1999999999999993"/>
    <n v="88"/>
    <x v="8"/>
    <n v="79.340799999999987"/>
  </r>
  <r>
    <n v="1010"/>
    <x v="4"/>
    <x v="4"/>
    <x v="4"/>
    <s v="789 29th Street"/>
    <x v="3"/>
    <x v="3"/>
    <n v="99999"/>
    <s v="USA"/>
    <x v="3"/>
    <x v="0"/>
    <d v="2014-01-31T00:00:00"/>
    <s v="Shipping Company B"/>
    <s v="Soo Jung Lee"/>
    <s v="789 29th Street"/>
    <x v="3"/>
    <s v="CO"/>
    <n v="99999"/>
    <s v="USA"/>
    <s v="Check"/>
    <x v="7"/>
    <x v="3"/>
    <n v="12.75"/>
    <n v="94"/>
    <x v="9"/>
    <n v="122.24700000000001"/>
  </r>
  <r>
    <n v="1011"/>
    <x v="5"/>
    <x v="5"/>
    <x v="5"/>
    <s v="123 3rd Street"/>
    <x v="4"/>
    <x v="4"/>
    <n v="99999"/>
    <s v="USA"/>
    <x v="0"/>
    <x v="0"/>
    <d v="2014-01-05T00:00:00"/>
    <s v="Shipping Company B"/>
    <s v="Thomas Axerr"/>
    <s v="123 3rd Street"/>
    <x v="4"/>
    <s v="CA"/>
    <n v="99999"/>
    <s v="USA"/>
    <s v="Cash"/>
    <x v="8"/>
    <x v="4"/>
    <n v="9.65"/>
    <n v="91"/>
    <x v="10"/>
    <n v="92.205749999999995"/>
  </r>
  <r>
    <n v="1012"/>
    <x v="6"/>
    <x v="6"/>
    <x v="6"/>
    <s v="123 6th Street"/>
    <x v="5"/>
    <x v="5"/>
    <n v="99999"/>
    <s v="USA"/>
    <x v="4"/>
    <x v="2"/>
    <d v="2014-01-08T00:00:00"/>
    <s v="Shipping Company B"/>
    <s v="Francisco Pérez-Olaeta"/>
    <s v="123 6th Street"/>
    <x v="5"/>
    <s v="WI"/>
    <n v="99999"/>
    <s v="USA"/>
    <s v="Credit Card"/>
    <x v="9"/>
    <x v="5"/>
    <n v="40"/>
    <n v="32"/>
    <x v="11"/>
    <n v="133.12"/>
  </r>
  <r>
    <n v="1013"/>
    <x v="7"/>
    <x v="7"/>
    <x v="7"/>
    <s v="789 28th Street"/>
    <x v="6"/>
    <x v="6"/>
    <n v="99999"/>
    <s v="USA"/>
    <x v="5"/>
    <x v="3"/>
    <d v="2014-01-30T00:00:00"/>
    <s v="Shipping Company C"/>
    <s v="Amritansh Raghav"/>
    <s v="789 28th Street"/>
    <x v="6"/>
    <s v="TN"/>
    <n v="99999"/>
    <s v="USA"/>
    <s v="Check"/>
    <x v="5"/>
    <x v="0"/>
    <n v="46"/>
    <n v="55"/>
    <x v="12"/>
    <n v="253"/>
  </r>
  <r>
    <n v="1014"/>
    <x v="3"/>
    <x v="3"/>
    <x v="3"/>
    <s v="123 8th Street"/>
    <x v="2"/>
    <x v="2"/>
    <n v="99999"/>
    <s v="USA"/>
    <x v="2"/>
    <x v="2"/>
    <d v="2014-01-10T00:00:00"/>
    <s v="Shipping Company C"/>
    <s v="Elizabeth Andersen"/>
    <s v="123 8th Street"/>
    <x v="2"/>
    <s v="OR"/>
    <n v="99999"/>
    <s v="USA"/>
    <s v="Check"/>
    <x v="7"/>
    <x v="3"/>
    <n v="12.75"/>
    <n v="47"/>
    <x v="13"/>
    <n v="61.722750000000005"/>
  </r>
  <r>
    <n v="1015"/>
    <x v="8"/>
    <x v="8"/>
    <x v="8"/>
    <s v="123 10th Street"/>
    <x v="7"/>
    <x v="7"/>
    <n v="99999"/>
    <s v="USA"/>
    <x v="6"/>
    <x v="1"/>
    <d v="2014-01-12T00:00:00"/>
    <s v="Shipping Company B"/>
    <s v="Roland Wacker"/>
    <s v="123 10th Street"/>
    <x v="7"/>
    <s v="IL"/>
    <n v="99999"/>
    <s v="USA"/>
    <s v="Credit Card"/>
    <x v="10"/>
    <x v="0"/>
    <n v="2.99"/>
    <n v="90"/>
    <x v="14"/>
    <n v="27.717300000000005"/>
  </r>
  <r>
    <n v="1016"/>
    <x v="9"/>
    <x v="9"/>
    <x v="9"/>
    <s v="123 7th Street"/>
    <x v="8"/>
    <x v="8"/>
    <n v="99999"/>
    <s v="USA"/>
    <x v="2"/>
    <x v="2"/>
    <m/>
    <m/>
    <s v="Ming-Yang Xie"/>
    <s v="123 7th Street"/>
    <x v="8"/>
    <s v="ID"/>
    <n v="99999"/>
    <s v="USA"/>
    <m/>
    <x v="5"/>
    <x v="0"/>
    <n v="46"/>
    <n v="24"/>
    <x v="15"/>
    <n v="110.4"/>
  </r>
  <r>
    <n v="1017"/>
    <x v="8"/>
    <x v="8"/>
    <x v="8"/>
    <s v="123 10th Street"/>
    <x v="7"/>
    <x v="7"/>
    <n v="99999"/>
    <s v="USA"/>
    <x v="6"/>
    <x v="1"/>
    <d v="2014-01-12T00:00:00"/>
    <s v="Shipping Company A"/>
    <s v="Roland Wacker"/>
    <s v="123 10th Street"/>
    <x v="7"/>
    <s v="IL"/>
    <n v="99999"/>
    <s v="USA"/>
    <m/>
    <x v="11"/>
    <x v="6"/>
    <n v="25"/>
    <n v="34"/>
    <x v="16"/>
    <n v="80.75"/>
  </r>
  <r>
    <n v="1018"/>
    <x v="8"/>
    <x v="8"/>
    <x v="8"/>
    <s v="123 10th Street"/>
    <x v="7"/>
    <x v="7"/>
    <n v="99999"/>
    <s v="USA"/>
    <x v="6"/>
    <x v="1"/>
    <d v="2014-01-12T00:00:00"/>
    <s v="Shipping Company A"/>
    <s v="Roland Wacker"/>
    <s v="123 10th Street"/>
    <x v="7"/>
    <s v="IL"/>
    <n v="99999"/>
    <s v="USA"/>
    <m/>
    <x v="12"/>
    <x v="7"/>
    <n v="22"/>
    <n v="17"/>
    <x v="17"/>
    <n v="35.903999999999996"/>
  </r>
  <r>
    <n v="1019"/>
    <x v="8"/>
    <x v="8"/>
    <x v="8"/>
    <s v="123 10th Street"/>
    <x v="7"/>
    <x v="7"/>
    <n v="99999"/>
    <s v="USA"/>
    <x v="6"/>
    <x v="1"/>
    <d v="2014-01-12T00:00:00"/>
    <s v="Shipping Company A"/>
    <s v="Roland Wacker"/>
    <s v="123 10th Street"/>
    <x v="7"/>
    <s v="IL"/>
    <n v="99999"/>
    <s v="USA"/>
    <m/>
    <x v="6"/>
    <x v="2"/>
    <n v="9.1999999999999993"/>
    <n v="44"/>
    <x v="18"/>
    <n v="42.099199999999996"/>
  </r>
  <r>
    <n v="1020"/>
    <x v="10"/>
    <x v="10"/>
    <x v="10"/>
    <s v="123 11th Street"/>
    <x v="9"/>
    <x v="9"/>
    <n v="99999"/>
    <s v="USA"/>
    <x v="5"/>
    <x v="3"/>
    <m/>
    <s v="Shipping Company C"/>
    <s v="Peter Krschne"/>
    <s v="123 11th Street"/>
    <x v="9"/>
    <s v="FL"/>
    <n v="99999"/>
    <s v="USA"/>
    <m/>
    <x v="1"/>
    <x v="1"/>
    <n v="3.5"/>
    <n v="81"/>
    <x v="19"/>
    <n v="27.499500000000001"/>
  </r>
  <r>
    <n v="1021"/>
    <x v="10"/>
    <x v="10"/>
    <x v="10"/>
    <s v="123 11th Street"/>
    <x v="9"/>
    <x v="9"/>
    <n v="99999"/>
    <s v="USA"/>
    <x v="5"/>
    <x v="3"/>
    <m/>
    <s v="Shipping Company C"/>
    <s v="Peter Krschne"/>
    <s v="123 11th Street"/>
    <x v="9"/>
    <s v="FL"/>
    <n v="99999"/>
    <s v="USA"/>
    <m/>
    <x v="10"/>
    <x v="0"/>
    <n v="2.99"/>
    <n v="49"/>
    <x v="20"/>
    <n v="15.090530000000005"/>
  </r>
  <r>
    <n v="1022"/>
    <x v="11"/>
    <x v="11"/>
    <x v="11"/>
    <s v="123 1st Street"/>
    <x v="10"/>
    <x v="10"/>
    <n v="99999"/>
    <s v="USA"/>
    <x v="2"/>
    <x v="2"/>
    <m/>
    <m/>
    <s v="Anna Bedecs"/>
    <s v="123 1st Street"/>
    <x v="10"/>
    <s v="WA"/>
    <n v="99999"/>
    <s v="USA"/>
    <m/>
    <x v="4"/>
    <x v="0"/>
    <n v="18"/>
    <n v="42"/>
    <x v="21"/>
    <n v="75.600000000000009"/>
  </r>
  <r>
    <n v="1023"/>
    <x v="11"/>
    <x v="11"/>
    <x v="11"/>
    <s v="123 1st Street"/>
    <x v="10"/>
    <x v="10"/>
    <n v="99999"/>
    <s v="USA"/>
    <x v="2"/>
    <x v="2"/>
    <m/>
    <m/>
    <s v="Anna Bedecs"/>
    <s v="123 1st Street"/>
    <x v="10"/>
    <s v="WA"/>
    <n v="99999"/>
    <s v="USA"/>
    <m/>
    <x v="5"/>
    <x v="0"/>
    <n v="46"/>
    <n v="58"/>
    <x v="22"/>
    <n v="269.46800000000002"/>
  </r>
  <r>
    <n v="1024"/>
    <x v="11"/>
    <x v="11"/>
    <x v="11"/>
    <s v="123 1st Street"/>
    <x v="10"/>
    <x v="10"/>
    <n v="99999"/>
    <s v="USA"/>
    <x v="2"/>
    <x v="2"/>
    <m/>
    <m/>
    <s v="Anna Bedecs"/>
    <s v="123 1st Street"/>
    <x v="10"/>
    <s v="WA"/>
    <n v="99999"/>
    <s v="USA"/>
    <m/>
    <x v="10"/>
    <x v="0"/>
    <n v="2.99"/>
    <n v="67"/>
    <x v="23"/>
    <n v="20.033000000000001"/>
  </r>
  <r>
    <n v="1025"/>
    <x v="7"/>
    <x v="7"/>
    <x v="7"/>
    <s v="789 28th Street"/>
    <x v="6"/>
    <x v="6"/>
    <n v="99999"/>
    <s v="USA"/>
    <x v="5"/>
    <x v="3"/>
    <d v="2014-01-30T00:00:00"/>
    <s v="Shipping Company C"/>
    <s v="Amritansh Raghav"/>
    <s v="789 28th Street"/>
    <x v="6"/>
    <s v="TN"/>
    <n v="99999"/>
    <s v="USA"/>
    <s v="Credit Card"/>
    <x v="8"/>
    <x v="4"/>
    <n v="9.65"/>
    <n v="100"/>
    <x v="24"/>
    <n v="93.605000000000004"/>
  </r>
  <r>
    <n v="1026"/>
    <x v="7"/>
    <x v="7"/>
    <x v="7"/>
    <s v="789 28th Street"/>
    <x v="6"/>
    <x v="6"/>
    <n v="99999"/>
    <s v="USA"/>
    <x v="5"/>
    <x v="3"/>
    <d v="2014-01-30T00:00:00"/>
    <s v="Shipping Company C"/>
    <s v="Amritansh Raghav"/>
    <s v="789 28th Street"/>
    <x v="6"/>
    <s v="TN"/>
    <n v="99999"/>
    <s v="USA"/>
    <s v="Credit Card"/>
    <x v="13"/>
    <x v="8"/>
    <n v="18.399999999999999"/>
    <n v="63"/>
    <x v="25"/>
    <n v="114.76079999999999"/>
  </r>
  <r>
    <n v="1027"/>
    <x v="12"/>
    <x v="12"/>
    <x v="12"/>
    <s v="123 9th Street"/>
    <x v="11"/>
    <x v="11"/>
    <n v="99999"/>
    <s v="USA"/>
    <x v="7"/>
    <x v="0"/>
    <d v="2014-01-11T00:00:00"/>
    <s v="Shipping Company A"/>
    <s v="Sven Mortensen"/>
    <s v="123 9th Street"/>
    <x v="11"/>
    <s v="UT"/>
    <n v="99999"/>
    <s v="USA"/>
    <s v="Check"/>
    <x v="14"/>
    <x v="9"/>
    <n v="19.5"/>
    <n v="57"/>
    <x v="26"/>
    <n v="110.0385"/>
  </r>
  <r>
    <n v="1028"/>
    <x v="12"/>
    <x v="12"/>
    <x v="12"/>
    <s v="123 9th Street"/>
    <x v="11"/>
    <x v="11"/>
    <n v="99999"/>
    <s v="USA"/>
    <x v="7"/>
    <x v="0"/>
    <d v="2014-01-11T00:00:00"/>
    <s v="Shipping Company A"/>
    <s v="Sven Mortensen"/>
    <s v="123 9th Street"/>
    <x v="11"/>
    <s v="UT"/>
    <n v="99999"/>
    <s v="USA"/>
    <s v="Check"/>
    <x v="15"/>
    <x v="10"/>
    <n v="34.799999999999997"/>
    <n v="81"/>
    <x v="27"/>
    <n v="295.97399999999999"/>
  </r>
  <r>
    <n v="1029"/>
    <x v="6"/>
    <x v="6"/>
    <x v="6"/>
    <s v="123 6th Street"/>
    <x v="5"/>
    <x v="5"/>
    <n v="99999"/>
    <s v="USA"/>
    <x v="4"/>
    <x v="2"/>
    <d v="2014-01-08T00:00:00"/>
    <s v="Shipping Company B"/>
    <s v="Francisco Pérez-Olaeta"/>
    <s v="123 6th Street"/>
    <x v="5"/>
    <s v="WI"/>
    <n v="99999"/>
    <s v="USA"/>
    <s v="Credit Card"/>
    <x v="0"/>
    <x v="0"/>
    <n v="14"/>
    <n v="71"/>
    <x v="28"/>
    <n v="95.424000000000007"/>
  </r>
  <r>
    <n v="1030"/>
    <x v="13"/>
    <x v="3"/>
    <x v="3"/>
    <s v="123 8th Street"/>
    <x v="2"/>
    <x v="2"/>
    <n v="99999"/>
    <s v="USA"/>
    <x v="2"/>
    <x v="2"/>
    <d v="2014-02-10T00:00:00"/>
    <s v="Shipping Company B"/>
    <s v="Elizabeth Andersen"/>
    <s v="123 8th Street"/>
    <x v="2"/>
    <s v="OR"/>
    <n v="99999"/>
    <s v="USA"/>
    <s v="Check"/>
    <x v="9"/>
    <x v="5"/>
    <n v="40"/>
    <n v="32"/>
    <x v="11"/>
    <n v="129.28"/>
  </r>
  <r>
    <n v="1031"/>
    <x v="14"/>
    <x v="5"/>
    <x v="5"/>
    <s v="123 3rd Street"/>
    <x v="4"/>
    <x v="4"/>
    <n v="99999"/>
    <s v="USA"/>
    <x v="0"/>
    <x v="0"/>
    <d v="2014-02-05T00:00:00"/>
    <s v="Shipping Company B"/>
    <s v="Thomas Axerr"/>
    <s v="123 3rd Street"/>
    <x v="4"/>
    <s v="CA"/>
    <n v="99999"/>
    <s v="USA"/>
    <s v="Cash"/>
    <x v="16"/>
    <x v="7"/>
    <n v="10"/>
    <n v="63"/>
    <x v="29"/>
    <n v="65.52"/>
  </r>
  <r>
    <n v="1032"/>
    <x v="14"/>
    <x v="5"/>
    <x v="5"/>
    <s v="123 3rd Street"/>
    <x v="4"/>
    <x v="4"/>
    <n v="99999"/>
    <s v="USA"/>
    <x v="0"/>
    <x v="0"/>
    <d v="2014-02-05T00:00:00"/>
    <s v="Shipping Company B"/>
    <s v="Thomas Axerr"/>
    <s v="123 3rd Street"/>
    <x v="4"/>
    <s v="CA"/>
    <n v="99999"/>
    <s v="USA"/>
    <s v="Cash"/>
    <x v="9"/>
    <x v="5"/>
    <n v="40"/>
    <n v="30"/>
    <x v="30"/>
    <n v="120"/>
  </r>
  <r>
    <n v="1033"/>
    <x v="15"/>
    <x v="6"/>
    <x v="6"/>
    <s v="123 6th Street"/>
    <x v="5"/>
    <x v="5"/>
    <n v="99999"/>
    <s v="USA"/>
    <x v="4"/>
    <x v="2"/>
    <d v="2014-02-08T00:00:00"/>
    <s v="Shipping Company B"/>
    <s v="Francisco Pérez-Olaeta"/>
    <s v="123 6th Street"/>
    <x v="5"/>
    <s v="WI"/>
    <n v="99999"/>
    <s v="USA"/>
    <s v="Credit Card"/>
    <x v="17"/>
    <x v="11"/>
    <m/>
    <m/>
    <x v="31"/>
    <n v="43"/>
  </r>
  <r>
    <n v="1034"/>
    <x v="16"/>
    <x v="7"/>
    <x v="7"/>
    <s v="789 28th Street"/>
    <x v="6"/>
    <x v="6"/>
    <n v="99999"/>
    <s v="USA"/>
    <x v="5"/>
    <x v="3"/>
    <d v="2014-03-02T00:00:00"/>
    <s v="Shipping Company C"/>
    <s v="Amritansh Raghav"/>
    <s v="789 28th Street"/>
    <x v="6"/>
    <s v="TN"/>
    <n v="99999"/>
    <s v="USA"/>
    <s v="Check"/>
    <x v="17"/>
    <x v="11"/>
    <m/>
    <m/>
    <x v="31"/>
    <n v="31"/>
  </r>
  <r>
    <n v="1035"/>
    <x v="13"/>
    <x v="3"/>
    <x v="3"/>
    <s v="123 8th Street"/>
    <x v="2"/>
    <x v="2"/>
    <n v="99999"/>
    <s v="USA"/>
    <x v="2"/>
    <x v="2"/>
    <d v="2014-02-10T00:00:00"/>
    <s v="Shipping Company C"/>
    <s v="Elizabeth Andersen"/>
    <s v="123 8th Street"/>
    <x v="2"/>
    <s v="OR"/>
    <n v="99999"/>
    <s v="USA"/>
    <s v="Check"/>
    <x v="17"/>
    <x v="11"/>
    <m/>
    <m/>
    <x v="31"/>
    <n v="46"/>
  </r>
  <r>
    <n v="1036"/>
    <x v="17"/>
    <x v="8"/>
    <x v="8"/>
    <s v="123 10th Street"/>
    <x v="7"/>
    <x v="7"/>
    <n v="99999"/>
    <s v="USA"/>
    <x v="6"/>
    <x v="1"/>
    <d v="2014-02-12T00:00:00"/>
    <s v="Shipping Company B"/>
    <s v="Roland Wacker"/>
    <s v="123 10th Street"/>
    <x v="7"/>
    <s v="IL"/>
    <n v="99999"/>
    <s v="USA"/>
    <s v="Credit Card"/>
    <x v="18"/>
    <x v="1"/>
    <n v="10"/>
    <n v="47"/>
    <x v="32"/>
    <n v="48.88"/>
  </r>
  <r>
    <n v="1038"/>
    <x v="17"/>
    <x v="8"/>
    <x v="8"/>
    <s v="123 10th Street"/>
    <x v="7"/>
    <x v="7"/>
    <n v="99999"/>
    <s v="USA"/>
    <x v="6"/>
    <x v="1"/>
    <m/>
    <s v="Shipping Company A"/>
    <s v="Roland Wacker"/>
    <s v="123 10th Street"/>
    <x v="7"/>
    <s v="IL"/>
    <n v="99999"/>
    <s v="USA"/>
    <m/>
    <x v="1"/>
    <x v="1"/>
    <n v="3.5"/>
    <n v="49"/>
    <x v="33"/>
    <n v="16.464000000000002"/>
  </r>
  <r>
    <n v="1039"/>
    <x v="18"/>
    <x v="10"/>
    <x v="10"/>
    <s v="123 11th Street"/>
    <x v="9"/>
    <x v="9"/>
    <n v="99999"/>
    <s v="USA"/>
    <x v="5"/>
    <x v="3"/>
    <m/>
    <s v="Shipping Company C"/>
    <s v="Peter Krschne"/>
    <s v="123 11th Street"/>
    <x v="9"/>
    <s v="FL"/>
    <n v="99999"/>
    <s v="USA"/>
    <m/>
    <x v="9"/>
    <x v="5"/>
    <n v="40"/>
    <n v="72"/>
    <x v="34"/>
    <n v="285.12"/>
  </r>
  <r>
    <n v="1040"/>
    <x v="19"/>
    <x v="11"/>
    <x v="11"/>
    <s v="123 1st Street"/>
    <x v="10"/>
    <x v="10"/>
    <n v="99999"/>
    <s v="USA"/>
    <x v="2"/>
    <x v="2"/>
    <m/>
    <s v="Shipping Company C"/>
    <s v="Anna Bedecs"/>
    <s v="123 1st Street"/>
    <x v="10"/>
    <s v="WA"/>
    <n v="99999"/>
    <s v="USA"/>
    <m/>
    <x v="13"/>
    <x v="8"/>
    <n v="18.399999999999999"/>
    <n v="13"/>
    <x v="35"/>
    <n v="23.680800000000001"/>
  </r>
  <r>
    <n v="1041"/>
    <x v="16"/>
    <x v="7"/>
    <x v="7"/>
    <s v="789 28th Street"/>
    <x v="6"/>
    <x v="6"/>
    <n v="99999"/>
    <s v="USA"/>
    <x v="5"/>
    <x v="3"/>
    <n v="41700"/>
    <s v="Shipping Company C"/>
    <s v="Amritansh Raghav"/>
    <s v="789 28th Street"/>
    <x v="6"/>
    <s v="TN"/>
    <n v="99999"/>
    <s v="USA"/>
    <s v="Credit Card"/>
    <x v="5"/>
    <x v="0"/>
    <n v="46"/>
    <n v="32"/>
    <x v="36"/>
    <n v="148.67200000000003"/>
  </r>
  <r>
    <n v="1042"/>
    <x v="20"/>
    <x v="12"/>
    <x v="12"/>
    <s v="123 9th Street"/>
    <x v="11"/>
    <x v="11"/>
    <n v="99999"/>
    <s v="USA"/>
    <x v="7"/>
    <x v="0"/>
    <d v="2014-02-11T00:00:00"/>
    <s v="Shipping Company A"/>
    <s v="Sven Mortensen"/>
    <s v="123 9th Street"/>
    <x v="11"/>
    <s v="UT"/>
    <n v="99999"/>
    <s v="USA"/>
    <s v="Check"/>
    <x v="8"/>
    <x v="4"/>
    <n v="9.65"/>
    <n v="27"/>
    <x v="37"/>
    <n v="24.752250000000004"/>
  </r>
  <r>
    <n v="1043"/>
    <x v="15"/>
    <x v="6"/>
    <x v="6"/>
    <s v="123 6th Street"/>
    <x v="5"/>
    <x v="5"/>
    <n v="99999"/>
    <s v="USA"/>
    <x v="4"/>
    <x v="2"/>
    <d v="2014-02-08T00:00:00"/>
    <s v="Shipping Company B"/>
    <s v="Francisco Pérez-Olaeta"/>
    <s v="123 6th Street"/>
    <x v="5"/>
    <s v="WI"/>
    <n v="99999"/>
    <s v="USA"/>
    <s v="Credit Card"/>
    <x v="7"/>
    <x v="3"/>
    <n v="12.75"/>
    <n v="71"/>
    <x v="38"/>
    <n v="91.430250000000001"/>
  </r>
  <r>
    <n v="1044"/>
    <x v="13"/>
    <x v="3"/>
    <x v="3"/>
    <s v="123 8th Street"/>
    <x v="2"/>
    <x v="2"/>
    <n v="99999"/>
    <s v="USA"/>
    <x v="2"/>
    <x v="2"/>
    <d v="2014-02-10T00:00:00"/>
    <s v="Shipping Company B"/>
    <s v="Elizabeth Andersen"/>
    <s v="123 8th Street"/>
    <x v="2"/>
    <s v="OR"/>
    <n v="99999"/>
    <s v="USA"/>
    <s v="Check"/>
    <x v="7"/>
    <x v="3"/>
    <n v="12.75"/>
    <n v="13"/>
    <x v="39"/>
    <n v="15.746249999999998"/>
  </r>
  <r>
    <n v="1045"/>
    <x v="21"/>
    <x v="13"/>
    <x v="13"/>
    <s v="789 25th Street"/>
    <x v="7"/>
    <x v="7"/>
    <n v="99999"/>
    <s v="USA"/>
    <x v="6"/>
    <x v="1"/>
    <d v="2014-02-27T00:00:00"/>
    <s v="Shipping Company A"/>
    <s v="John Rodman"/>
    <s v="789 25th Street"/>
    <x v="7"/>
    <s v="IL"/>
    <n v="99999"/>
    <s v="USA"/>
    <s v="Cash"/>
    <x v="12"/>
    <x v="7"/>
    <n v="22"/>
    <n v="98"/>
    <x v="40"/>
    <n v="204.82000000000002"/>
  </r>
  <r>
    <n v="1046"/>
    <x v="22"/>
    <x v="14"/>
    <x v="14"/>
    <s v="789 26th Street"/>
    <x v="9"/>
    <x v="9"/>
    <n v="99999"/>
    <s v="USA"/>
    <x v="5"/>
    <x v="3"/>
    <d v="2014-02-28T00:00:00"/>
    <s v="Shipping Company C"/>
    <s v="Run Liu"/>
    <s v="789 26th Street"/>
    <x v="9"/>
    <s v="FL"/>
    <n v="99999"/>
    <s v="USA"/>
    <s v="Credit Card"/>
    <x v="11"/>
    <x v="6"/>
    <n v="25"/>
    <n v="21"/>
    <x v="41"/>
    <n v="53.550000000000004"/>
  </r>
  <r>
    <n v="1047"/>
    <x v="23"/>
    <x v="4"/>
    <x v="4"/>
    <s v="789 29th Street"/>
    <x v="3"/>
    <x v="3"/>
    <n v="99999"/>
    <s v="USA"/>
    <x v="3"/>
    <x v="0"/>
    <d v="2014-03-03T00:00:00"/>
    <s v="Shipping Company B"/>
    <s v="Soo Jung Lee"/>
    <s v="789 29th Street"/>
    <x v="3"/>
    <s v="CO"/>
    <n v="99999"/>
    <s v="USA"/>
    <s v="Check"/>
    <x v="19"/>
    <x v="12"/>
    <n v="39"/>
    <n v="26"/>
    <x v="42"/>
    <n v="106.47000000000001"/>
  </r>
  <r>
    <n v="1048"/>
    <x v="15"/>
    <x v="6"/>
    <x v="6"/>
    <s v="123 6th Street"/>
    <x v="5"/>
    <x v="5"/>
    <n v="99999"/>
    <s v="USA"/>
    <x v="4"/>
    <x v="2"/>
    <d v="2014-02-08T00:00:00"/>
    <s v="Shipping Company C"/>
    <s v="Francisco Pérez-Olaeta"/>
    <s v="123 6th Street"/>
    <x v="5"/>
    <s v="WI"/>
    <n v="99999"/>
    <s v="USA"/>
    <s v="Check"/>
    <x v="2"/>
    <x v="1"/>
    <n v="30"/>
    <n v="96"/>
    <x v="34"/>
    <n v="296.64"/>
  </r>
  <r>
    <n v="1049"/>
    <x v="15"/>
    <x v="6"/>
    <x v="6"/>
    <s v="123 6th Street"/>
    <x v="5"/>
    <x v="5"/>
    <n v="99999"/>
    <s v="USA"/>
    <x v="4"/>
    <x v="2"/>
    <d v="2014-02-08T00:00:00"/>
    <s v="Shipping Company C"/>
    <s v="Francisco Pérez-Olaeta"/>
    <s v="123 6th Street"/>
    <x v="5"/>
    <s v="WI"/>
    <n v="99999"/>
    <s v="USA"/>
    <s v="Check"/>
    <x v="3"/>
    <x v="1"/>
    <n v="53"/>
    <n v="16"/>
    <x v="43"/>
    <n v="88.192000000000021"/>
  </r>
  <r>
    <n v="1050"/>
    <x v="24"/>
    <x v="1"/>
    <x v="1"/>
    <s v="123 4th Street"/>
    <x v="1"/>
    <x v="1"/>
    <n v="99999"/>
    <s v="USA"/>
    <x v="1"/>
    <x v="1"/>
    <m/>
    <m/>
    <s v="Christina Lee"/>
    <s v="123 4th Street"/>
    <x v="1"/>
    <s v="NY"/>
    <n v="99999"/>
    <s v="USA"/>
    <m/>
    <x v="20"/>
    <x v="9"/>
    <n v="38"/>
    <n v="96"/>
    <x v="44"/>
    <n v="346.56"/>
  </r>
  <r>
    <n v="1051"/>
    <x v="14"/>
    <x v="5"/>
    <x v="5"/>
    <s v="123 3rd Street"/>
    <x v="4"/>
    <x v="4"/>
    <n v="99999"/>
    <s v="USA"/>
    <x v="0"/>
    <x v="0"/>
    <m/>
    <m/>
    <s v="Thomas Axerr"/>
    <s v="123 3rd Street"/>
    <x v="4"/>
    <s v="CA"/>
    <n v="99999"/>
    <s v="USA"/>
    <m/>
    <x v="10"/>
    <x v="0"/>
    <n v="2.99"/>
    <n v="75"/>
    <x v="45"/>
    <n v="23.097750000000005"/>
  </r>
  <r>
    <n v="1052"/>
    <x v="25"/>
    <x v="12"/>
    <x v="12"/>
    <s v="123 9th Street"/>
    <x v="11"/>
    <x v="11"/>
    <n v="99999"/>
    <s v="USA"/>
    <x v="7"/>
    <x v="0"/>
    <n v="41709"/>
    <s v="Shipping Company A"/>
    <s v="Sven Mortensen"/>
    <s v="123 9th Street"/>
    <x v="11"/>
    <s v="UT"/>
    <n v="99999"/>
    <s v="USA"/>
    <s v="Check"/>
    <x v="14"/>
    <x v="9"/>
    <n v="19.5"/>
    <n v="55"/>
    <x v="46"/>
    <n v="108.32250000000001"/>
  </r>
  <r>
    <n v="1053"/>
    <x v="25"/>
    <x v="12"/>
    <x v="12"/>
    <s v="123 9th Street"/>
    <x v="11"/>
    <x v="11"/>
    <n v="99999"/>
    <s v="USA"/>
    <x v="7"/>
    <x v="0"/>
    <d v="2014-03-11T00:00:00"/>
    <s v="Shipping Company A"/>
    <s v="Sven Mortensen"/>
    <s v="123 9th Street"/>
    <x v="11"/>
    <s v="UT"/>
    <n v="99999"/>
    <s v="USA"/>
    <s v="Check"/>
    <x v="15"/>
    <x v="10"/>
    <n v="34.799999999999997"/>
    <n v="11"/>
    <x v="47"/>
    <n v="36.748799999999996"/>
  </r>
  <r>
    <n v="1054"/>
    <x v="26"/>
    <x v="6"/>
    <x v="6"/>
    <s v="123 6th Street"/>
    <x v="5"/>
    <x v="5"/>
    <n v="99999"/>
    <s v="USA"/>
    <x v="4"/>
    <x v="2"/>
    <d v="2014-03-08T00:00:00"/>
    <s v="Shipping Company B"/>
    <s v="Francisco Pérez-Olaeta"/>
    <s v="123 6th Street"/>
    <x v="5"/>
    <s v="WI"/>
    <n v="99999"/>
    <s v="USA"/>
    <s v="Credit Card"/>
    <x v="0"/>
    <x v="0"/>
    <n v="14"/>
    <n v="53"/>
    <x v="48"/>
    <n v="71.974000000000004"/>
  </r>
  <r>
    <n v="1055"/>
    <x v="27"/>
    <x v="3"/>
    <x v="3"/>
    <s v="123 8th Street"/>
    <x v="2"/>
    <x v="2"/>
    <n v="99999"/>
    <s v="USA"/>
    <x v="2"/>
    <x v="2"/>
    <d v="2014-03-10T00:00:00"/>
    <s v="Shipping Company B"/>
    <s v="Elizabeth Andersen"/>
    <s v="123 8th Street"/>
    <x v="2"/>
    <s v="OR"/>
    <n v="99999"/>
    <s v="USA"/>
    <s v="Check"/>
    <x v="9"/>
    <x v="5"/>
    <n v="40"/>
    <n v="85"/>
    <x v="49"/>
    <n v="357"/>
  </r>
  <r>
    <n v="1056"/>
    <x v="27"/>
    <x v="3"/>
    <x v="3"/>
    <s v="123 8th Street"/>
    <x v="2"/>
    <x v="2"/>
    <n v="99999"/>
    <s v="USA"/>
    <x v="2"/>
    <x v="2"/>
    <d v="2014-03-10T00:00:00"/>
    <s v="Shipping Company B"/>
    <s v="Elizabeth Andersen"/>
    <s v="123 8th Street"/>
    <x v="2"/>
    <s v="OR"/>
    <n v="99999"/>
    <s v="USA"/>
    <s v="Check"/>
    <x v="6"/>
    <x v="2"/>
    <n v="9.1999999999999993"/>
    <n v="97"/>
    <x v="50"/>
    <n v="91.024800000000013"/>
  </r>
  <r>
    <n v="1057"/>
    <x v="28"/>
    <x v="13"/>
    <x v="13"/>
    <s v="789 25th Street"/>
    <x v="7"/>
    <x v="7"/>
    <n v="99999"/>
    <s v="USA"/>
    <x v="6"/>
    <x v="1"/>
    <d v="2014-03-27T00:00:00"/>
    <s v="Shipping Company A"/>
    <s v="John Rodman"/>
    <s v="789 25th Street"/>
    <x v="7"/>
    <s v="IL"/>
    <n v="99999"/>
    <s v="USA"/>
    <s v="Cash"/>
    <x v="21"/>
    <x v="2"/>
    <n v="10"/>
    <n v="46"/>
    <x v="51"/>
    <n v="46.46"/>
  </r>
  <r>
    <n v="1058"/>
    <x v="29"/>
    <x v="14"/>
    <x v="14"/>
    <s v="789 26th Street"/>
    <x v="9"/>
    <x v="9"/>
    <n v="99999"/>
    <s v="USA"/>
    <x v="5"/>
    <x v="3"/>
    <d v="2014-03-28T00:00:00"/>
    <s v="Shipping Company C"/>
    <s v="Run Liu"/>
    <s v="789 26th Street"/>
    <x v="9"/>
    <s v="FL"/>
    <n v="99999"/>
    <s v="USA"/>
    <s v="Credit Card"/>
    <x v="22"/>
    <x v="13"/>
    <n v="21.35"/>
    <n v="97"/>
    <x v="52"/>
    <n v="196.74025"/>
  </r>
  <r>
    <n v="1059"/>
    <x v="29"/>
    <x v="14"/>
    <x v="14"/>
    <s v="789 26th Street"/>
    <x v="9"/>
    <x v="9"/>
    <n v="99999"/>
    <s v="USA"/>
    <x v="5"/>
    <x v="3"/>
    <d v="2014-03-28T00:00:00"/>
    <s v="Shipping Company C"/>
    <s v="Run Liu"/>
    <s v="789 26th Street"/>
    <x v="9"/>
    <s v="FL"/>
    <n v="99999"/>
    <s v="USA"/>
    <s v="Credit Card"/>
    <x v="8"/>
    <x v="4"/>
    <n v="9.65"/>
    <n v="97"/>
    <x v="53"/>
    <n v="95.477100000000021"/>
  </r>
  <r>
    <n v="1060"/>
    <x v="29"/>
    <x v="14"/>
    <x v="14"/>
    <s v="789 26th Street"/>
    <x v="9"/>
    <x v="9"/>
    <n v="99999"/>
    <s v="USA"/>
    <x v="5"/>
    <x v="3"/>
    <d v="2014-03-28T00:00:00"/>
    <s v="Shipping Company C"/>
    <s v="Run Liu"/>
    <s v="789 26th Street"/>
    <x v="9"/>
    <s v="FL"/>
    <n v="99999"/>
    <s v="USA"/>
    <s v="Credit Card"/>
    <x v="13"/>
    <x v="8"/>
    <n v="18.399999999999999"/>
    <n v="65"/>
    <x v="54"/>
    <n v="123.18800000000002"/>
  </r>
  <r>
    <n v="1061"/>
    <x v="30"/>
    <x v="4"/>
    <x v="4"/>
    <s v="789 29th Street"/>
    <x v="3"/>
    <x v="3"/>
    <n v="99999"/>
    <s v="USA"/>
    <x v="3"/>
    <x v="0"/>
    <d v="2014-03-31T00:00:00"/>
    <s v="Shipping Company B"/>
    <s v="Soo Jung Lee"/>
    <s v="789 29th Street"/>
    <x v="3"/>
    <s v="CO"/>
    <n v="99999"/>
    <s v="USA"/>
    <s v="Check"/>
    <x v="0"/>
    <x v="0"/>
    <n v="14"/>
    <n v="72"/>
    <x v="55"/>
    <n v="100.80000000000001"/>
  </r>
  <r>
    <n v="1062"/>
    <x v="26"/>
    <x v="6"/>
    <x v="6"/>
    <s v="123 6th Street"/>
    <x v="5"/>
    <x v="5"/>
    <n v="99999"/>
    <s v="USA"/>
    <x v="4"/>
    <x v="2"/>
    <d v="2014-03-08T00:00:00"/>
    <s v="Shipping Company C"/>
    <s v="Francisco Pérez-Olaeta"/>
    <s v="123 6th Street"/>
    <x v="5"/>
    <s v="WI"/>
    <n v="99999"/>
    <s v="USA"/>
    <s v="Check"/>
    <x v="7"/>
    <x v="3"/>
    <n v="12.75"/>
    <n v="16"/>
    <x v="56"/>
    <n v="20.196000000000002"/>
  </r>
  <r>
    <n v="1064"/>
    <x v="31"/>
    <x v="1"/>
    <x v="1"/>
    <s v="123 4th Street"/>
    <x v="1"/>
    <x v="1"/>
    <n v="99999"/>
    <s v="USA"/>
    <x v="1"/>
    <x v="1"/>
    <d v="2014-03-06T00:00:00"/>
    <s v="Shipping Company A"/>
    <s v="Christina Lee"/>
    <s v="123 4th Street"/>
    <x v="1"/>
    <s v="NY"/>
    <n v="99999"/>
    <s v="USA"/>
    <s v="Credit Card"/>
    <x v="23"/>
    <x v="6"/>
    <n v="81"/>
    <n v="77"/>
    <x v="57"/>
    <n v="642.41100000000006"/>
  </r>
  <r>
    <n v="1065"/>
    <x v="31"/>
    <x v="1"/>
    <x v="1"/>
    <s v="123 4th Street"/>
    <x v="1"/>
    <x v="1"/>
    <n v="99999"/>
    <s v="USA"/>
    <x v="1"/>
    <x v="1"/>
    <d v="2014-03-06T00:00:00"/>
    <s v="Shipping Company A"/>
    <s v="Christina Lee"/>
    <s v="123 4th Street"/>
    <x v="1"/>
    <s v="NY"/>
    <n v="99999"/>
    <s v="USA"/>
    <s v="Credit Card"/>
    <x v="24"/>
    <x v="14"/>
    <n v="7"/>
    <n v="37"/>
    <x v="58"/>
    <n v="24.605"/>
  </r>
  <r>
    <n v="1067"/>
    <x v="27"/>
    <x v="3"/>
    <x v="3"/>
    <s v="123 8th Street"/>
    <x v="2"/>
    <x v="2"/>
    <n v="99999"/>
    <s v="USA"/>
    <x v="2"/>
    <x v="2"/>
    <d v="2014-03-10T00:00:00"/>
    <s v="Shipping Company C"/>
    <s v="Elizabeth Andersen"/>
    <s v="123 8th Street"/>
    <x v="2"/>
    <s v="OR"/>
    <n v="99999"/>
    <s v="USA"/>
    <s v="Credit Card"/>
    <x v="15"/>
    <x v="10"/>
    <n v="34.799999999999997"/>
    <n v="63"/>
    <x v="59"/>
    <n v="217.04759999999999"/>
  </r>
  <r>
    <n v="1070"/>
    <x v="32"/>
    <x v="5"/>
    <x v="5"/>
    <s v="123 3rd Street"/>
    <x v="4"/>
    <x v="4"/>
    <n v="99999"/>
    <s v="USA"/>
    <x v="0"/>
    <x v="0"/>
    <d v="2014-03-05T00:00:00"/>
    <s v="Shipping Company B"/>
    <s v="Thomas Axerr"/>
    <s v="123 3rd Street"/>
    <x v="4"/>
    <s v="CA"/>
    <n v="99999"/>
    <s v="USA"/>
    <s v="Cash"/>
    <x v="16"/>
    <x v="7"/>
    <n v="10"/>
    <n v="48"/>
    <x v="60"/>
    <n v="48"/>
  </r>
  <r>
    <n v="1071"/>
    <x v="32"/>
    <x v="5"/>
    <x v="5"/>
    <s v="123 3rd Street"/>
    <x v="4"/>
    <x v="4"/>
    <n v="99999"/>
    <s v="USA"/>
    <x v="0"/>
    <x v="0"/>
    <d v="2014-03-05T00:00:00"/>
    <s v="Shipping Company B"/>
    <s v="Thomas Axerr"/>
    <s v="123 3rd Street"/>
    <x v="4"/>
    <s v="CA"/>
    <n v="99999"/>
    <s v="USA"/>
    <s v="Cash"/>
    <x v="9"/>
    <x v="5"/>
    <n v="40"/>
    <n v="71"/>
    <x v="61"/>
    <n v="295.36"/>
  </r>
  <r>
    <n v="1075"/>
    <x v="33"/>
    <x v="8"/>
    <x v="8"/>
    <s v="123 10th Street"/>
    <x v="7"/>
    <x v="7"/>
    <n v="99999"/>
    <s v="USA"/>
    <x v="6"/>
    <x v="1"/>
    <d v="2014-03-12T00:00:00"/>
    <s v="Shipping Company B"/>
    <s v="Roland Wacker"/>
    <s v="123 10th Street"/>
    <x v="7"/>
    <s v="IL"/>
    <n v="99999"/>
    <s v="USA"/>
    <s v="Credit Card"/>
    <x v="18"/>
    <x v="1"/>
    <n v="10"/>
    <n v="55"/>
    <x v="62"/>
    <n v="55"/>
  </r>
  <r>
    <n v="1077"/>
    <x v="33"/>
    <x v="8"/>
    <x v="8"/>
    <s v="123 10th Street"/>
    <x v="7"/>
    <x v="7"/>
    <n v="99999"/>
    <s v="USA"/>
    <x v="6"/>
    <x v="1"/>
    <m/>
    <s v="Shipping Company A"/>
    <s v="Roland Wacker"/>
    <s v="123 10th Street"/>
    <x v="7"/>
    <s v="IL"/>
    <n v="99999"/>
    <s v="USA"/>
    <m/>
    <x v="1"/>
    <x v="1"/>
    <n v="3.5"/>
    <n v="21"/>
    <x v="63"/>
    <n v="7.3500000000000005"/>
  </r>
  <r>
    <n v="1078"/>
    <x v="34"/>
    <x v="10"/>
    <x v="10"/>
    <s v="123 11th Street"/>
    <x v="9"/>
    <x v="9"/>
    <n v="99999"/>
    <s v="USA"/>
    <x v="5"/>
    <x v="3"/>
    <m/>
    <s v="Shipping Company C"/>
    <s v="Peter Krschne"/>
    <s v="123 11th Street"/>
    <x v="9"/>
    <s v="FL"/>
    <n v="99999"/>
    <s v="USA"/>
    <m/>
    <x v="9"/>
    <x v="5"/>
    <n v="40"/>
    <n v="67"/>
    <x v="64"/>
    <n v="270.68"/>
  </r>
  <r>
    <n v="1079"/>
    <x v="23"/>
    <x v="11"/>
    <x v="11"/>
    <s v="123 1st Street"/>
    <x v="10"/>
    <x v="10"/>
    <n v="99999"/>
    <s v="USA"/>
    <x v="2"/>
    <x v="2"/>
    <m/>
    <s v="Shipping Company C"/>
    <s v="Anna Bedecs"/>
    <s v="123 1st Street"/>
    <x v="10"/>
    <s v="WA"/>
    <n v="99999"/>
    <s v="USA"/>
    <m/>
    <x v="13"/>
    <x v="8"/>
    <n v="18.399999999999999"/>
    <n v="75"/>
    <x v="65"/>
    <n v="138"/>
  </r>
  <r>
    <n v="1080"/>
    <x v="35"/>
    <x v="7"/>
    <x v="7"/>
    <s v="789 28th Street"/>
    <x v="6"/>
    <x v="6"/>
    <n v="99999"/>
    <s v="USA"/>
    <x v="5"/>
    <x v="3"/>
    <d v="2014-03-30T00:00:00"/>
    <s v="Shipping Company C"/>
    <s v="Amritansh Raghav"/>
    <s v="789 28th Street"/>
    <x v="6"/>
    <s v="TN"/>
    <n v="99999"/>
    <s v="USA"/>
    <s v="Credit Card"/>
    <x v="5"/>
    <x v="0"/>
    <n v="46"/>
    <n v="17"/>
    <x v="66"/>
    <n v="80.546000000000006"/>
  </r>
  <r>
    <n v="1081"/>
    <x v="36"/>
    <x v="1"/>
    <x v="1"/>
    <s v="123 4th Street"/>
    <x v="1"/>
    <x v="1"/>
    <n v="99999"/>
    <s v="USA"/>
    <x v="1"/>
    <x v="1"/>
    <d v="2014-04-06T00:00:00"/>
    <s v="Shipping Company A"/>
    <s v="Christina Lee"/>
    <s v="123 4th Street"/>
    <x v="1"/>
    <s v="NY"/>
    <n v="99999"/>
    <s v="USA"/>
    <s v="Credit Card"/>
    <x v="1"/>
    <x v="1"/>
    <n v="3.5"/>
    <n v="48"/>
    <x v="67"/>
    <n v="16.295999999999999"/>
  </r>
  <r>
    <n v="1082"/>
    <x v="37"/>
    <x v="2"/>
    <x v="2"/>
    <s v="123 12th Street"/>
    <x v="0"/>
    <x v="0"/>
    <n v="99999"/>
    <s v="USA"/>
    <x v="0"/>
    <x v="0"/>
    <d v="2014-04-14T00:00:00"/>
    <s v="Shipping Company B"/>
    <s v="John Edwards"/>
    <s v="123 12th Street"/>
    <x v="0"/>
    <s v="NV"/>
    <n v="99999"/>
    <s v="USA"/>
    <s v="Credit Card"/>
    <x v="4"/>
    <x v="0"/>
    <n v="18"/>
    <n v="74"/>
    <x v="68"/>
    <n v="137.19600000000003"/>
  </r>
  <r>
    <n v="1083"/>
    <x v="37"/>
    <x v="2"/>
    <x v="2"/>
    <s v="123 12th Street"/>
    <x v="0"/>
    <x v="0"/>
    <n v="99999"/>
    <s v="USA"/>
    <x v="0"/>
    <x v="0"/>
    <d v="2014-04-14T00:00:00"/>
    <s v="Shipping Company B"/>
    <s v="John Edwards"/>
    <s v="123 12th Street"/>
    <x v="0"/>
    <s v="NV"/>
    <n v="99999"/>
    <s v="USA"/>
    <s v="Credit Card"/>
    <x v="5"/>
    <x v="0"/>
    <n v="46"/>
    <n v="96"/>
    <x v="69"/>
    <n v="428.35200000000003"/>
  </r>
  <r>
    <n v="1084"/>
    <x v="38"/>
    <x v="3"/>
    <x v="3"/>
    <s v="123 8th Street"/>
    <x v="2"/>
    <x v="2"/>
    <n v="99999"/>
    <s v="USA"/>
    <x v="2"/>
    <x v="2"/>
    <d v="2014-04-10T00:00:00"/>
    <s v="Shipping Company C"/>
    <s v="Elizabeth Andersen"/>
    <s v="123 8th Street"/>
    <x v="2"/>
    <s v="OR"/>
    <n v="99999"/>
    <s v="USA"/>
    <s v="Credit Card"/>
    <x v="6"/>
    <x v="2"/>
    <n v="9.1999999999999993"/>
    <n v="12"/>
    <x v="70"/>
    <n v="11.3712"/>
  </r>
  <r>
    <n v="1085"/>
    <x v="36"/>
    <x v="1"/>
    <x v="1"/>
    <s v="123 4th Street"/>
    <x v="1"/>
    <x v="1"/>
    <n v="99999"/>
    <s v="USA"/>
    <x v="1"/>
    <x v="1"/>
    <n v="41735"/>
    <s v="Shipping Company C"/>
    <s v="Christina Lee"/>
    <s v="123 4th Street"/>
    <x v="1"/>
    <s v="NY"/>
    <n v="99999"/>
    <s v="USA"/>
    <s v="Check"/>
    <x v="6"/>
    <x v="2"/>
    <n v="9.1999999999999993"/>
    <n v="62"/>
    <x v="71"/>
    <n v="58.751199999999997"/>
  </r>
  <r>
    <n v="1086"/>
    <x v="39"/>
    <x v="4"/>
    <x v="4"/>
    <s v="789 29th Street"/>
    <x v="3"/>
    <x v="3"/>
    <n v="99999"/>
    <s v="USA"/>
    <x v="3"/>
    <x v="0"/>
    <n v="41760"/>
    <s v="Shipping Company B"/>
    <s v="Soo Jung Lee"/>
    <s v="789 29th Street"/>
    <x v="3"/>
    <s v="CO"/>
    <n v="99999"/>
    <s v="USA"/>
    <s v="Check"/>
    <x v="7"/>
    <x v="3"/>
    <n v="12.75"/>
    <n v="35"/>
    <x v="72"/>
    <n v="45.963750000000005"/>
  </r>
  <r>
    <n v="1087"/>
    <x v="40"/>
    <x v="5"/>
    <x v="5"/>
    <s v="123 3rd Street"/>
    <x v="4"/>
    <x v="4"/>
    <n v="99999"/>
    <s v="USA"/>
    <x v="0"/>
    <x v="0"/>
    <n v="41734"/>
    <s v="Shipping Company B"/>
    <s v="Thomas Axerr"/>
    <s v="123 3rd Street"/>
    <x v="4"/>
    <s v="CA"/>
    <n v="99999"/>
    <s v="USA"/>
    <s v="Cash"/>
    <x v="8"/>
    <x v="4"/>
    <n v="9.65"/>
    <n v="95"/>
    <x v="73"/>
    <n v="91.675000000000011"/>
  </r>
  <r>
    <n v="1088"/>
    <x v="41"/>
    <x v="6"/>
    <x v="6"/>
    <s v="123 6th Street"/>
    <x v="5"/>
    <x v="5"/>
    <n v="99999"/>
    <s v="USA"/>
    <x v="4"/>
    <x v="2"/>
    <n v="41737"/>
    <s v="Shipping Company B"/>
    <s v="Francisco Pérez-Olaeta"/>
    <s v="123 6th Street"/>
    <x v="5"/>
    <s v="WI"/>
    <n v="99999"/>
    <s v="USA"/>
    <s v="Credit Card"/>
    <x v="9"/>
    <x v="5"/>
    <n v="40"/>
    <n v="17"/>
    <x v="74"/>
    <n v="68.680000000000007"/>
  </r>
  <r>
    <n v="1089"/>
    <x v="42"/>
    <x v="7"/>
    <x v="7"/>
    <s v="789 28th Street"/>
    <x v="6"/>
    <x v="6"/>
    <n v="99999"/>
    <s v="USA"/>
    <x v="5"/>
    <x v="3"/>
    <d v="2014-04-30T00:00:00"/>
    <s v="Shipping Company C"/>
    <s v="Amritansh Raghav"/>
    <s v="789 28th Street"/>
    <x v="6"/>
    <s v="TN"/>
    <n v="99999"/>
    <s v="USA"/>
    <s v="Check"/>
    <x v="5"/>
    <x v="0"/>
    <n v="46"/>
    <n v="96"/>
    <x v="69"/>
    <n v="463.68000000000006"/>
  </r>
  <r>
    <n v="1090"/>
    <x v="38"/>
    <x v="3"/>
    <x v="3"/>
    <s v="123 8th Street"/>
    <x v="2"/>
    <x v="2"/>
    <n v="99999"/>
    <s v="USA"/>
    <x v="2"/>
    <x v="2"/>
    <d v="2014-04-10T00:00:00"/>
    <s v="Shipping Company C"/>
    <s v="Elizabeth Andersen"/>
    <s v="123 8th Street"/>
    <x v="2"/>
    <s v="OR"/>
    <n v="99999"/>
    <s v="USA"/>
    <s v="Check"/>
    <x v="7"/>
    <x v="3"/>
    <n v="12.75"/>
    <n v="83"/>
    <x v="75"/>
    <n v="102.65025"/>
  </r>
  <r>
    <n v="1091"/>
    <x v="43"/>
    <x v="8"/>
    <x v="8"/>
    <s v="123 10th Street"/>
    <x v="7"/>
    <x v="7"/>
    <n v="99999"/>
    <s v="USA"/>
    <x v="6"/>
    <x v="1"/>
    <d v="2014-04-12T00:00:00"/>
    <s v="Shipping Company B"/>
    <s v="Roland Wacker"/>
    <s v="123 10th Street"/>
    <x v="7"/>
    <s v="IL"/>
    <n v="99999"/>
    <s v="USA"/>
    <s v="Credit Card"/>
    <x v="10"/>
    <x v="0"/>
    <n v="2.99"/>
    <n v="88"/>
    <x v="76"/>
    <n v="26.04888"/>
  </r>
  <r>
    <n v="1092"/>
    <x v="44"/>
    <x v="9"/>
    <x v="9"/>
    <s v="123 7th Street"/>
    <x v="8"/>
    <x v="8"/>
    <n v="99999"/>
    <s v="USA"/>
    <x v="2"/>
    <x v="2"/>
    <m/>
    <m/>
    <s v="Ming-Yang Xie"/>
    <s v="123 7th Street"/>
    <x v="8"/>
    <s v="ID"/>
    <n v="99999"/>
    <s v="USA"/>
    <m/>
    <x v="5"/>
    <x v="0"/>
    <n v="46"/>
    <n v="59"/>
    <x v="77"/>
    <n v="284.97000000000003"/>
  </r>
  <r>
    <n v="1093"/>
    <x v="43"/>
    <x v="8"/>
    <x v="8"/>
    <s v="123 10th Street"/>
    <x v="7"/>
    <x v="7"/>
    <n v="99999"/>
    <s v="USA"/>
    <x v="6"/>
    <x v="1"/>
    <d v="2014-04-12T00:00:00"/>
    <s v="Shipping Company A"/>
    <s v="Roland Wacker"/>
    <s v="123 10th Street"/>
    <x v="7"/>
    <s v="IL"/>
    <n v="99999"/>
    <s v="USA"/>
    <m/>
    <x v="11"/>
    <x v="6"/>
    <n v="25"/>
    <n v="27"/>
    <x v="78"/>
    <n v="68.849999999999994"/>
  </r>
  <r>
    <n v="1094"/>
    <x v="43"/>
    <x v="8"/>
    <x v="8"/>
    <s v="123 10th Street"/>
    <x v="7"/>
    <x v="7"/>
    <n v="99999"/>
    <s v="USA"/>
    <x v="6"/>
    <x v="1"/>
    <d v="2014-04-12T00:00:00"/>
    <s v="Shipping Company A"/>
    <s v="Roland Wacker"/>
    <s v="123 10th Street"/>
    <x v="7"/>
    <s v="IL"/>
    <n v="99999"/>
    <s v="USA"/>
    <m/>
    <x v="12"/>
    <x v="7"/>
    <n v="22"/>
    <n v="37"/>
    <x v="79"/>
    <n v="85.470000000000013"/>
  </r>
  <r>
    <n v="1095"/>
    <x v="43"/>
    <x v="8"/>
    <x v="8"/>
    <s v="123 10th Street"/>
    <x v="7"/>
    <x v="7"/>
    <n v="99999"/>
    <s v="USA"/>
    <x v="6"/>
    <x v="1"/>
    <d v="2014-04-12T00:00:00"/>
    <s v="Shipping Company A"/>
    <s v="Roland Wacker"/>
    <s v="123 10th Street"/>
    <x v="7"/>
    <s v="IL"/>
    <n v="99999"/>
    <s v="USA"/>
    <m/>
    <x v="6"/>
    <x v="2"/>
    <n v="9.1999999999999993"/>
    <n v="75"/>
    <x v="80"/>
    <n v="69"/>
  </r>
  <r>
    <n v="1096"/>
    <x v="45"/>
    <x v="10"/>
    <x v="10"/>
    <s v="123 11th Street"/>
    <x v="9"/>
    <x v="9"/>
    <n v="99999"/>
    <s v="USA"/>
    <x v="5"/>
    <x v="3"/>
    <m/>
    <s v="Shipping Company C"/>
    <s v="Peter Krschne"/>
    <s v="123 11th Street"/>
    <x v="9"/>
    <s v="FL"/>
    <n v="99999"/>
    <s v="USA"/>
    <m/>
    <x v="1"/>
    <x v="1"/>
    <n v="3.5"/>
    <n v="71"/>
    <x v="81"/>
    <n v="24.104500000000002"/>
  </r>
  <r>
    <n v="1097"/>
    <x v="45"/>
    <x v="10"/>
    <x v="10"/>
    <s v="123 11th Street"/>
    <x v="9"/>
    <x v="9"/>
    <n v="99999"/>
    <s v="USA"/>
    <x v="5"/>
    <x v="3"/>
    <m/>
    <s v="Shipping Company C"/>
    <s v="Peter Krschne"/>
    <s v="123 11th Street"/>
    <x v="9"/>
    <s v="FL"/>
    <n v="99999"/>
    <s v="USA"/>
    <m/>
    <x v="10"/>
    <x v="0"/>
    <n v="2.99"/>
    <n v="88"/>
    <x v="76"/>
    <n v="26.04888"/>
  </r>
  <r>
    <n v="1098"/>
    <x v="46"/>
    <x v="11"/>
    <x v="11"/>
    <s v="123 1st Street"/>
    <x v="10"/>
    <x v="10"/>
    <n v="99999"/>
    <s v="USA"/>
    <x v="2"/>
    <x v="2"/>
    <m/>
    <m/>
    <s v="Anna Bedecs"/>
    <s v="123 1st Street"/>
    <x v="10"/>
    <s v="WA"/>
    <n v="99999"/>
    <s v="USA"/>
    <m/>
    <x v="4"/>
    <x v="0"/>
    <n v="18"/>
    <n v="55"/>
    <x v="82"/>
    <n v="97.02"/>
  </r>
  <r>
    <n v="1099"/>
    <x v="47"/>
    <x v="4"/>
    <x v="4"/>
    <s v="789 29th Street"/>
    <x v="3"/>
    <x v="3"/>
    <n v="99999"/>
    <s v="USA"/>
    <x v="3"/>
    <x v="0"/>
    <d v="2014-05-31T00:00:00"/>
    <s v="Shipping Company B"/>
    <s v="Soo Jung Lee"/>
    <s v="789 29th Street"/>
    <x v="3"/>
    <s v="CO"/>
    <n v="99999"/>
    <s v="USA"/>
    <s v="Check"/>
    <x v="7"/>
    <x v="3"/>
    <n v="12.75"/>
    <n v="14"/>
    <x v="83"/>
    <n v="16.9575"/>
  </r>
  <r>
    <n v="1100"/>
    <x v="48"/>
    <x v="5"/>
    <x v="5"/>
    <s v="123 3rd Street"/>
    <x v="4"/>
    <x v="4"/>
    <n v="99999"/>
    <s v="USA"/>
    <x v="0"/>
    <x v="0"/>
    <d v="2014-05-05T00:00:00"/>
    <s v="Shipping Company B"/>
    <s v="Thomas Axerr"/>
    <s v="123 3rd Street"/>
    <x v="4"/>
    <s v="CA"/>
    <n v="99999"/>
    <s v="USA"/>
    <s v="Cash"/>
    <x v="8"/>
    <x v="4"/>
    <n v="9.65"/>
    <n v="43"/>
    <x v="84"/>
    <n v="42.324900000000007"/>
  </r>
  <r>
    <n v="1101"/>
    <x v="49"/>
    <x v="6"/>
    <x v="6"/>
    <s v="123 6th Street"/>
    <x v="5"/>
    <x v="5"/>
    <n v="99999"/>
    <s v="USA"/>
    <x v="4"/>
    <x v="2"/>
    <n v="41767"/>
    <s v="Shipping Company B"/>
    <s v="Francisco Pérez-Olaeta"/>
    <s v="123 6th Street"/>
    <x v="5"/>
    <s v="WI"/>
    <n v="99999"/>
    <s v="USA"/>
    <s v="Credit Card"/>
    <x v="9"/>
    <x v="5"/>
    <n v="40"/>
    <n v="63"/>
    <x v="85"/>
    <n v="254.52"/>
  </r>
  <r>
    <n v="1102"/>
    <x v="50"/>
    <x v="7"/>
    <x v="7"/>
    <s v="789 28th Street"/>
    <x v="6"/>
    <x v="6"/>
    <n v="99999"/>
    <s v="USA"/>
    <x v="5"/>
    <x v="3"/>
    <d v="2014-05-30T00:00:00"/>
    <s v="Shipping Company C"/>
    <s v="Amritansh Raghav"/>
    <s v="789 28th Street"/>
    <x v="6"/>
    <s v="TN"/>
    <n v="99999"/>
    <s v="USA"/>
    <s v="Check"/>
    <x v="5"/>
    <x v="0"/>
    <n v="46"/>
    <n v="36"/>
    <x v="86"/>
    <n v="165.60000000000002"/>
  </r>
  <r>
    <n v="1103"/>
    <x v="51"/>
    <x v="3"/>
    <x v="3"/>
    <s v="123 8th Street"/>
    <x v="2"/>
    <x v="2"/>
    <n v="99999"/>
    <s v="USA"/>
    <x v="2"/>
    <x v="2"/>
    <d v="2014-05-10T00:00:00"/>
    <s v="Shipping Company C"/>
    <s v="Elizabeth Andersen"/>
    <s v="123 8th Street"/>
    <x v="2"/>
    <s v="OR"/>
    <n v="99999"/>
    <s v="USA"/>
    <s v="Check"/>
    <x v="7"/>
    <x v="3"/>
    <n v="12.75"/>
    <n v="41"/>
    <x v="87"/>
    <n v="54.366000000000007"/>
  </r>
  <r>
    <n v="1104"/>
    <x v="52"/>
    <x v="8"/>
    <x v="8"/>
    <s v="123 10th Street"/>
    <x v="7"/>
    <x v="7"/>
    <n v="99999"/>
    <s v="USA"/>
    <x v="6"/>
    <x v="1"/>
    <d v="2014-05-12T00:00:00"/>
    <s v="Shipping Company B"/>
    <s v="Roland Wacker"/>
    <s v="123 10th Street"/>
    <x v="7"/>
    <s v="IL"/>
    <n v="99999"/>
    <s v="USA"/>
    <s v="Credit Card"/>
    <x v="10"/>
    <x v="0"/>
    <n v="2.99"/>
    <n v="35"/>
    <x v="88"/>
    <n v="10.255700000000001"/>
  </r>
  <r>
    <n v="1105"/>
    <x v="53"/>
    <x v="9"/>
    <x v="9"/>
    <s v="123 7th Street"/>
    <x v="8"/>
    <x v="8"/>
    <n v="99999"/>
    <s v="USA"/>
    <x v="2"/>
    <x v="2"/>
    <m/>
    <m/>
    <s v="Ming-Yang Xie"/>
    <s v="123 7th Street"/>
    <x v="8"/>
    <s v="ID"/>
    <n v="99999"/>
    <s v="USA"/>
    <m/>
    <x v="5"/>
    <x v="0"/>
    <n v="46"/>
    <n v="31"/>
    <x v="89"/>
    <n v="136.89599999999999"/>
  </r>
  <r>
    <n v="1106"/>
    <x v="52"/>
    <x v="8"/>
    <x v="8"/>
    <s v="123 10th Street"/>
    <x v="7"/>
    <x v="7"/>
    <n v="99999"/>
    <s v="USA"/>
    <x v="6"/>
    <x v="1"/>
    <n v="41771"/>
    <s v="Shipping Company A"/>
    <s v="Roland Wacker"/>
    <s v="123 10th Street"/>
    <x v="7"/>
    <s v="IL"/>
    <n v="99999"/>
    <s v="USA"/>
    <m/>
    <x v="11"/>
    <x v="6"/>
    <n v="25"/>
    <n v="52"/>
    <x v="90"/>
    <n v="123.5"/>
  </r>
  <r>
    <n v="1107"/>
    <x v="52"/>
    <x v="8"/>
    <x v="8"/>
    <s v="123 10th Street"/>
    <x v="7"/>
    <x v="7"/>
    <n v="99999"/>
    <s v="USA"/>
    <x v="6"/>
    <x v="1"/>
    <n v="41771"/>
    <s v="Shipping Company A"/>
    <s v="Roland Wacker"/>
    <s v="123 10th Street"/>
    <x v="7"/>
    <s v="IL"/>
    <n v="99999"/>
    <s v="USA"/>
    <m/>
    <x v="12"/>
    <x v="7"/>
    <n v="22"/>
    <n v="30"/>
    <x v="91"/>
    <n v="67.320000000000007"/>
  </r>
  <r>
    <n v="1108"/>
    <x v="52"/>
    <x v="8"/>
    <x v="8"/>
    <s v="123 10th Street"/>
    <x v="7"/>
    <x v="7"/>
    <n v="99999"/>
    <s v="USA"/>
    <x v="6"/>
    <x v="1"/>
    <d v="2014-05-12T00:00:00"/>
    <s v="Shipping Company A"/>
    <s v="Roland Wacker"/>
    <s v="123 10th Street"/>
    <x v="7"/>
    <s v="IL"/>
    <n v="99999"/>
    <s v="USA"/>
    <m/>
    <x v="6"/>
    <x v="2"/>
    <n v="9.1999999999999993"/>
    <n v="41"/>
    <x v="92"/>
    <n v="38.474400000000003"/>
  </r>
  <r>
    <n v="1109"/>
    <x v="54"/>
    <x v="10"/>
    <x v="10"/>
    <s v="123 11th Street"/>
    <x v="9"/>
    <x v="9"/>
    <n v="99999"/>
    <s v="USA"/>
    <x v="5"/>
    <x v="3"/>
    <m/>
    <s v="Shipping Company C"/>
    <s v="Peter Krschne"/>
    <s v="123 11th Street"/>
    <x v="9"/>
    <s v="FL"/>
    <n v="99999"/>
    <s v="USA"/>
    <m/>
    <x v="1"/>
    <x v="1"/>
    <n v="3.5"/>
    <n v="44"/>
    <x v="93"/>
    <n v="15.246"/>
  </r>
  <r>
    <n v="1110"/>
    <x v="54"/>
    <x v="10"/>
    <x v="10"/>
    <s v="123 11th Street"/>
    <x v="9"/>
    <x v="9"/>
    <n v="99999"/>
    <s v="USA"/>
    <x v="5"/>
    <x v="3"/>
    <m/>
    <s v="Shipping Company C"/>
    <s v="Peter Krschne"/>
    <s v="123 11th Street"/>
    <x v="9"/>
    <s v="FL"/>
    <n v="99999"/>
    <s v="USA"/>
    <m/>
    <x v="10"/>
    <x v="0"/>
    <n v="2.99"/>
    <n v="77"/>
    <x v="94"/>
    <n v="23.023000000000003"/>
  </r>
  <r>
    <n v="1111"/>
    <x v="55"/>
    <x v="11"/>
    <x v="11"/>
    <s v="123 1st Street"/>
    <x v="10"/>
    <x v="10"/>
    <n v="99999"/>
    <s v="USA"/>
    <x v="2"/>
    <x v="2"/>
    <m/>
    <m/>
    <s v="Anna Bedecs"/>
    <s v="123 1st Street"/>
    <x v="10"/>
    <s v="WA"/>
    <n v="99999"/>
    <s v="USA"/>
    <m/>
    <x v="4"/>
    <x v="0"/>
    <n v="18"/>
    <n v="29"/>
    <x v="95"/>
    <n v="52.722000000000001"/>
  </r>
  <r>
    <n v="1112"/>
    <x v="55"/>
    <x v="11"/>
    <x v="11"/>
    <s v="123 1st Street"/>
    <x v="10"/>
    <x v="10"/>
    <n v="99999"/>
    <s v="USA"/>
    <x v="2"/>
    <x v="2"/>
    <m/>
    <m/>
    <s v="Anna Bedecs"/>
    <s v="123 1st Street"/>
    <x v="10"/>
    <s v="WA"/>
    <n v="99999"/>
    <s v="USA"/>
    <m/>
    <x v="5"/>
    <x v="0"/>
    <n v="46"/>
    <n v="77"/>
    <x v="96"/>
    <n v="368.36800000000005"/>
  </r>
  <r>
    <n v="1113"/>
    <x v="55"/>
    <x v="11"/>
    <x v="11"/>
    <s v="123 1st Street"/>
    <x v="10"/>
    <x v="10"/>
    <n v="99999"/>
    <s v="USA"/>
    <x v="2"/>
    <x v="2"/>
    <m/>
    <m/>
    <s v="Anna Bedecs"/>
    <s v="123 1st Street"/>
    <x v="10"/>
    <s v="WA"/>
    <n v="99999"/>
    <s v="USA"/>
    <m/>
    <x v="10"/>
    <x v="0"/>
    <n v="2.99"/>
    <n v="73"/>
    <x v="97"/>
    <n v="21.827000000000002"/>
  </r>
  <r>
    <n v="1114"/>
    <x v="50"/>
    <x v="7"/>
    <x v="7"/>
    <s v="789 28th Street"/>
    <x v="6"/>
    <x v="6"/>
    <n v="99999"/>
    <s v="USA"/>
    <x v="5"/>
    <x v="3"/>
    <n v="41789"/>
    <s v="Shipping Company C"/>
    <s v="Amritansh Raghav"/>
    <s v="789 28th Street"/>
    <x v="6"/>
    <s v="TN"/>
    <n v="99999"/>
    <s v="USA"/>
    <s v="Credit Card"/>
    <x v="8"/>
    <x v="4"/>
    <n v="9.65"/>
    <n v="74"/>
    <x v="98"/>
    <n v="67.839500000000001"/>
  </r>
  <r>
    <n v="1115"/>
    <x v="50"/>
    <x v="7"/>
    <x v="7"/>
    <s v="789 28th Street"/>
    <x v="6"/>
    <x v="6"/>
    <n v="99999"/>
    <s v="USA"/>
    <x v="5"/>
    <x v="3"/>
    <d v="2014-05-30T00:00:00"/>
    <s v="Shipping Company C"/>
    <s v="Amritansh Raghav"/>
    <s v="789 28th Street"/>
    <x v="6"/>
    <s v="TN"/>
    <n v="99999"/>
    <s v="USA"/>
    <s v="Credit Card"/>
    <x v="13"/>
    <x v="8"/>
    <n v="18.399999999999999"/>
    <n v="25"/>
    <x v="99"/>
    <n v="46.46"/>
  </r>
  <r>
    <n v="1116"/>
    <x v="56"/>
    <x v="12"/>
    <x v="12"/>
    <s v="123 9th Street"/>
    <x v="11"/>
    <x v="11"/>
    <n v="99999"/>
    <s v="USA"/>
    <x v="7"/>
    <x v="0"/>
    <d v="2014-05-11T00:00:00"/>
    <s v="Shipping Company A"/>
    <s v="Sven Mortensen"/>
    <s v="123 9th Street"/>
    <x v="11"/>
    <s v="UT"/>
    <n v="99999"/>
    <s v="USA"/>
    <s v="Check"/>
    <x v="14"/>
    <x v="9"/>
    <n v="19.5"/>
    <n v="82"/>
    <x v="100"/>
    <n v="153.50399999999999"/>
  </r>
  <r>
    <n v="1117"/>
    <x v="56"/>
    <x v="12"/>
    <x v="12"/>
    <s v="123 9th Street"/>
    <x v="11"/>
    <x v="11"/>
    <n v="99999"/>
    <s v="USA"/>
    <x v="7"/>
    <x v="0"/>
    <d v="2014-05-11T00:00:00"/>
    <s v="Shipping Company A"/>
    <s v="Sven Mortensen"/>
    <s v="123 9th Street"/>
    <x v="11"/>
    <s v="UT"/>
    <n v="99999"/>
    <s v="USA"/>
    <s v="Check"/>
    <x v="15"/>
    <x v="10"/>
    <n v="34.799999999999997"/>
    <n v="37"/>
    <x v="101"/>
    <n v="132.62279999999998"/>
  </r>
  <r>
    <n v="1118"/>
    <x v="49"/>
    <x v="6"/>
    <x v="6"/>
    <s v="123 6th Street"/>
    <x v="5"/>
    <x v="5"/>
    <n v="99999"/>
    <s v="USA"/>
    <x v="4"/>
    <x v="2"/>
    <n v="41767"/>
    <s v="Shipping Company B"/>
    <s v="Francisco Pérez-Olaeta"/>
    <s v="123 6th Street"/>
    <x v="5"/>
    <s v="WI"/>
    <n v="99999"/>
    <s v="USA"/>
    <s v="Credit Card"/>
    <x v="0"/>
    <x v="0"/>
    <n v="14"/>
    <n v="84"/>
    <x v="102"/>
    <n v="112.896"/>
  </r>
  <r>
    <n v="1119"/>
    <x v="51"/>
    <x v="3"/>
    <x v="3"/>
    <s v="123 8th Street"/>
    <x v="2"/>
    <x v="2"/>
    <n v="99999"/>
    <s v="USA"/>
    <x v="2"/>
    <x v="2"/>
    <n v="41769"/>
    <s v="Shipping Company B"/>
    <s v="Elizabeth Andersen"/>
    <s v="123 8th Street"/>
    <x v="2"/>
    <s v="OR"/>
    <n v="99999"/>
    <s v="USA"/>
    <s v="Check"/>
    <x v="9"/>
    <x v="5"/>
    <n v="40"/>
    <n v="73"/>
    <x v="103"/>
    <n v="283.24"/>
  </r>
  <r>
    <n v="1120"/>
    <x v="51"/>
    <x v="3"/>
    <x v="3"/>
    <s v="123 8th Street"/>
    <x v="2"/>
    <x v="2"/>
    <n v="99999"/>
    <s v="USA"/>
    <x v="2"/>
    <x v="2"/>
    <n v="41769"/>
    <s v="Shipping Company B"/>
    <s v="Elizabeth Andersen"/>
    <s v="123 8th Street"/>
    <x v="2"/>
    <s v="OR"/>
    <n v="99999"/>
    <s v="USA"/>
    <s v="Check"/>
    <x v="6"/>
    <x v="2"/>
    <n v="9.1999999999999993"/>
    <n v="51"/>
    <x v="104"/>
    <n v="44.573999999999998"/>
  </r>
  <r>
    <n v="1121"/>
    <x v="57"/>
    <x v="13"/>
    <x v="13"/>
    <s v="789 25th Street"/>
    <x v="7"/>
    <x v="7"/>
    <n v="99999"/>
    <s v="USA"/>
    <x v="6"/>
    <x v="1"/>
    <n v="41786"/>
    <s v="Shipping Company A"/>
    <s v="John Rodman"/>
    <s v="789 25th Street"/>
    <x v="7"/>
    <s v="IL"/>
    <n v="99999"/>
    <s v="USA"/>
    <s v="Cash"/>
    <x v="21"/>
    <x v="2"/>
    <n v="10"/>
    <n v="66"/>
    <x v="91"/>
    <n v="68.64"/>
  </r>
  <r>
    <n v="1122"/>
    <x v="58"/>
    <x v="14"/>
    <x v="14"/>
    <s v="789 26th Street"/>
    <x v="9"/>
    <x v="9"/>
    <n v="99999"/>
    <s v="USA"/>
    <x v="5"/>
    <x v="3"/>
    <n v="41787"/>
    <s v="Shipping Company C"/>
    <s v="Run Liu"/>
    <s v="789 26th Street"/>
    <x v="9"/>
    <s v="FL"/>
    <n v="99999"/>
    <s v="USA"/>
    <s v="Credit Card"/>
    <x v="22"/>
    <x v="13"/>
    <n v="21.35"/>
    <n v="36"/>
    <x v="105"/>
    <n v="74.554200000000009"/>
  </r>
  <r>
    <n v="1123"/>
    <x v="58"/>
    <x v="14"/>
    <x v="14"/>
    <s v="789 26th Street"/>
    <x v="9"/>
    <x v="9"/>
    <n v="99999"/>
    <s v="USA"/>
    <x v="5"/>
    <x v="3"/>
    <d v="2014-05-28T00:00:00"/>
    <s v="Shipping Company C"/>
    <s v="Run Liu"/>
    <s v="789 26th Street"/>
    <x v="9"/>
    <s v="FL"/>
    <n v="99999"/>
    <s v="USA"/>
    <s v="Credit Card"/>
    <x v="8"/>
    <x v="4"/>
    <n v="9.65"/>
    <n v="87"/>
    <x v="106"/>
    <n v="87.313200000000009"/>
  </r>
  <r>
    <n v="1124"/>
    <x v="58"/>
    <x v="14"/>
    <x v="14"/>
    <s v="789 26th Street"/>
    <x v="9"/>
    <x v="9"/>
    <n v="99999"/>
    <s v="USA"/>
    <x v="5"/>
    <x v="3"/>
    <d v="2014-05-28T00:00:00"/>
    <s v="Shipping Company C"/>
    <s v="Run Liu"/>
    <s v="789 26th Street"/>
    <x v="9"/>
    <s v="FL"/>
    <n v="99999"/>
    <s v="USA"/>
    <s v="Credit Card"/>
    <x v="13"/>
    <x v="8"/>
    <n v="18.399999999999999"/>
    <n v="64"/>
    <x v="107"/>
    <n v="115.40479999999999"/>
  </r>
  <r>
    <n v="1125"/>
    <x v="47"/>
    <x v="4"/>
    <x v="4"/>
    <s v="789 29th Street"/>
    <x v="3"/>
    <x v="3"/>
    <n v="99999"/>
    <s v="USA"/>
    <x v="3"/>
    <x v="0"/>
    <d v="2014-05-31T00:00:00"/>
    <s v="Shipping Company B"/>
    <s v="Soo Jung Lee"/>
    <s v="789 29th Street"/>
    <x v="3"/>
    <s v="CO"/>
    <n v="99999"/>
    <s v="USA"/>
    <s v="Check"/>
    <x v="0"/>
    <x v="0"/>
    <n v="14"/>
    <n v="21"/>
    <x v="108"/>
    <n v="30.870000000000005"/>
  </r>
  <r>
    <n v="1126"/>
    <x v="49"/>
    <x v="6"/>
    <x v="6"/>
    <s v="123 6th Street"/>
    <x v="5"/>
    <x v="5"/>
    <n v="99999"/>
    <s v="USA"/>
    <x v="4"/>
    <x v="2"/>
    <d v="2014-05-08T00:00:00"/>
    <s v="Shipping Company C"/>
    <s v="Francisco Pérez-Olaeta"/>
    <s v="123 6th Street"/>
    <x v="5"/>
    <s v="WI"/>
    <n v="99999"/>
    <s v="USA"/>
    <s v="Check"/>
    <x v="7"/>
    <x v="3"/>
    <n v="12.75"/>
    <n v="19"/>
    <x v="109"/>
    <n v="24.46725"/>
  </r>
  <r>
    <n v="1128"/>
    <x v="59"/>
    <x v="1"/>
    <x v="1"/>
    <s v="123 4th Street"/>
    <x v="1"/>
    <x v="1"/>
    <n v="99999"/>
    <s v="USA"/>
    <x v="1"/>
    <x v="1"/>
    <d v="2014-05-06T00:00:00"/>
    <s v="Shipping Company A"/>
    <s v="Christina Lee"/>
    <s v="123 4th Street"/>
    <x v="1"/>
    <s v="NY"/>
    <n v="99999"/>
    <s v="USA"/>
    <s v="Credit Card"/>
    <x v="23"/>
    <x v="6"/>
    <n v="81"/>
    <n v="23"/>
    <x v="110"/>
    <n v="195.61500000000001"/>
  </r>
  <r>
    <n v="1129"/>
    <x v="59"/>
    <x v="1"/>
    <x v="1"/>
    <s v="123 4th Street"/>
    <x v="1"/>
    <x v="1"/>
    <n v="99999"/>
    <s v="USA"/>
    <x v="1"/>
    <x v="1"/>
    <d v="2014-05-06T00:00:00"/>
    <s v="Shipping Company A"/>
    <s v="Christina Lee"/>
    <s v="123 4th Street"/>
    <x v="1"/>
    <s v="NY"/>
    <n v="99999"/>
    <s v="USA"/>
    <s v="Credit Card"/>
    <x v="24"/>
    <x v="14"/>
    <n v="7"/>
    <n v="72"/>
    <x v="111"/>
    <n v="51.912000000000006"/>
  </r>
  <r>
    <n v="1131"/>
    <x v="51"/>
    <x v="3"/>
    <x v="3"/>
    <s v="123 8th Street"/>
    <x v="2"/>
    <x v="2"/>
    <n v="99999"/>
    <s v="USA"/>
    <x v="2"/>
    <x v="2"/>
    <d v="2014-05-10T00:00:00"/>
    <s v="Shipping Company C"/>
    <s v="Elizabeth Andersen"/>
    <s v="123 8th Street"/>
    <x v="2"/>
    <s v="OR"/>
    <n v="99999"/>
    <s v="USA"/>
    <s v="Credit Card"/>
    <x v="15"/>
    <x v="10"/>
    <n v="34.799999999999997"/>
    <n v="22"/>
    <x v="112"/>
    <n v="75.02879999999999"/>
  </r>
  <r>
    <n v="1134"/>
    <x v="48"/>
    <x v="5"/>
    <x v="5"/>
    <s v="123 3rd Street"/>
    <x v="4"/>
    <x v="4"/>
    <n v="99999"/>
    <s v="USA"/>
    <x v="0"/>
    <x v="0"/>
    <d v="2014-05-05T00:00:00"/>
    <s v="Shipping Company B"/>
    <s v="Thomas Axerr"/>
    <s v="123 3rd Street"/>
    <x v="4"/>
    <s v="CA"/>
    <n v="99999"/>
    <s v="USA"/>
    <s v="Cash"/>
    <x v="16"/>
    <x v="7"/>
    <n v="10"/>
    <n v="82"/>
    <x v="113"/>
    <n v="85.28"/>
  </r>
  <r>
    <n v="1135"/>
    <x v="48"/>
    <x v="5"/>
    <x v="5"/>
    <s v="123 3rd Street"/>
    <x v="4"/>
    <x v="4"/>
    <n v="99999"/>
    <s v="USA"/>
    <x v="0"/>
    <x v="0"/>
    <d v="2014-05-05T00:00:00"/>
    <s v="Shipping Company B"/>
    <s v="Thomas Axerr"/>
    <s v="123 3rd Street"/>
    <x v="4"/>
    <s v="CA"/>
    <n v="99999"/>
    <s v="USA"/>
    <s v="Cash"/>
    <x v="9"/>
    <x v="5"/>
    <n v="40"/>
    <n v="98"/>
    <x v="114"/>
    <n v="411.6"/>
  </r>
  <r>
    <n v="1138"/>
    <x v="60"/>
    <x v="9"/>
    <x v="9"/>
    <s v="123 7th Street"/>
    <x v="8"/>
    <x v="8"/>
    <n v="99999"/>
    <s v="USA"/>
    <x v="2"/>
    <x v="2"/>
    <m/>
    <m/>
    <s v="Ming-Yang Xie"/>
    <s v="123 7th Street"/>
    <x v="8"/>
    <s v="ID"/>
    <n v="99999"/>
    <s v="USA"/>
    <m/>
    <x v="5"/>
    <x v="0"/>
    <n v="46"/>
    <n v="71"/>
    <x v="115"/>
    <n v="310.27"/>
  </r>
  <r>
    <n v="1139"/>
    <x v="61"/>
    <x v="8"/>
    <x v="8"/>
    <s v="123 10th Street"/>
    <x v="7"/>
    <x v="7"/>
    <n v="99999"/>
    <s v="USA"/>
    <x v="6"/>
    <x v="1"/>
    <d v="2014-06-12T00:00:00"/>
    <s v="Shipping Company A"/>
    <s v="Roland Wacker"/>
    <s v="123 10th Street"/>
    <x v="7"/>
    <s v="IL"/>
    <n v="99999"/>
    <s v="USA"/>
    <m/>
    <x v="11"/>
    <x v="6"/>
    <n v="25"/>
    <n v="40"/>
    <x v="116"/>
    <n v="105"/>
  </r>
  <r>
    <n v="1140"/>
    <x v="61"/>
    <x v="8"/>
    <x v="8"/>
    <s v="123 10th Street"/>
    <x v="7"/>
    <x v="7"/>
    <n v="99999"/>
    <s v="USA"/>
    <x v="6"/>
    <x v="1"/>
    <d v="2014-06-12T00:00:00"/>
    <s v="Shipping Company A"/>
    <s v="Roland Wacker"/>
    <s v="123 10th Street"/>
    <x v="7"/>
    <s v="IL"/>
    <n v="99999"/>
    <s v="USA"/>
    <m/>
    <x v="12"/>
    <x v="7"/>
    <n v="22"/>
    <n v="80"/>
    <x v="117"/>
    <n v="172.48"/>
  </r>
  <r>
    <n v="1141"/>
    <x v="61"/>
    <x v="8"/>
    <x v="8"/>
    <s v="123 10th Street"/>
    <x v="7"/>
    <x v="7"/>
    <n v="99999"/>
    <s v="USA"/>
    <x v="6"/>
    <x v="1"/>
    <d v="2014-06-12T00:00:00"/>
    <s v="Shipping Company A"/>
    <s v="Roland Wacker"/>
    <s v="123 10th Street"/>
    <x v="7"/>
    <s v="IL"/>
    <n v="99999"/>
    <s v="USA"/>
    <m/>
    <x v="6"/>
    <x v="2"/>
    <n v="9.1999999999999993"/>
    <n v="38"/>
    <x v="7"/>
    <n v="33.211999999999996"/>
  </r>
  <r>
    <n v="1142"/>
    <x v="62"/>
    <x v="10"/>
    <x v="10"/>
    <s v="123 11th Street"/>
    <x v="9"/>
    <x v="9"/>
    <n v="99999"/>
    <s v="USA"/>
    <x v="5"/>
    <x v="3"/>
    <m/>
    <s v="Shipping Company C"/>
    <s v="Peter Krschne"/>
    <s v="123 11th Street"/>
    <x v="9"/>
    <s v="FL"/>
    <n v="99999"/>
    <s v="USA"/>
    <m/>
    <x v="1"/>
    <x v="1"/>
    <n v="3.5"/>
    <n v="28"/>
    <x v="118"/>
    <n v="10.290000000000001"/>
  </r>
  <r>
    <n v="1143"/>
    <x v="62"/>
    <x v="10"/>
    <x v="10"/>
    <s v="123 11th Street"/>
    <x v="9"/>
    <x v="9"/>
    <n v="99999"/>
    <s v="USA"/>
    <x v="5"/>
    <x v="3"/>
    <m/>
    <s v="Shipping Company C"/>
    <s v="Peter Krschne"/>
    <s v="123 11th Street"/>
    <x v="9"/>
    <s v="FL"/>
    <n v="99999"/>
    <s v="USA"/>
    <m/>
    <x v="10"/>
    <x v="0"/>
    <n v="2.99"/>
    <n v="60"/>
    <x v="119"/>
    <n v="17.581200000000003"/>
  </r>
  <r>
    <n v="1144"/>
    <x v="63"/>
    <x v="11"/>
    <x v="11"/>
    <s v="123 1st Street"/>
    <x v="10"/>
    <x v="10"/>
    <n v="99999"/>
    <s v="USA"/>
    <x v="2"/>
    <x v="2"/>
    <m/>
    <m/>
    <s v="Anna Bedecs"/>
    <s v="123 1st Street"/>
    <x v="10"/>
    <s v="WA"/>
    <n v="99999"/>
    <s v="USA"/>
    <m/>
    <x v="4"/>
    <x v="0"/>
    <n v="18"/>
    <n v="33"/>
    <x v="120"/>
    <n v="58.212000000000003"/>
  </r>
  <r>
    <n v="1145"/>
    <x v="63"/>
    <x v="11"/>
    <x v="11"/>
    <s v="123 1st Street"/>
    <x v="10"/>
    <x v="10"/>
    <n v="99999"/>
    <s v="USA"/>
    <x v="2"/>
    <x v="2"/>
    <m/>
    <m/>
    <s v="Anna Bedecs"/>
    <s v="123 1st Street"/>
    <x v="10"/>
    <s v="WA"/>
    <n v="99999"/>
    <s v="USA"/>
    <m/>
    <x v="5"/>
    <x v="0"/>
    <n v="46"/>
    <n v="22"/>
    <x v="121"/>
    <n v="101.2"/>
  </r>
  <r>
    <n v="1146"/>
    <x v="63"/>
    <x v="11"/>
    <x v="11"/>
    <s v="123 1st Street"/>
    <x v="10"/>
    <x v="10"/>
    <n v="99999"/>
    <s v="USA"/>
    <x v="2"/>
    <x v="2"/>
    <m/>
    <m/>
    <s v="Anna Bedecs"/>
    <s v="123 1st Street"/>
    <x v="10"/>
    <s v="WA"/>
    <n v="99999"/>
    <s v="USA"/>
    <m/>
    <x v="10"/>
    <x v="0"/>
    <n v="2.99"/>
    <n v="51"/>
    <x v="122"/>
    <n v="14.944020000000002"/>
  </r>
  <r>
    <n v="1147"/>
    <x v="64"/>
    <x v="7"/>
    <x v="7"/>
    <s v="789 28th Street"/>
    <x v="6"/>
    <x v="6"/>
    <n v="99999"/>
    <s v="USA"/>
    <x v="5"/>
    <x v="3"/>
    <d v="2014-06-30T00:00:00"/>
    <s v="Shipping Company C"/>
    <s v="Amritansh Raghav"/>
    <s v="789 28th Street"/>
    <x v="6"/>
    <s v="TN"/>
    <n v="99999"/>
    <s v="USA"/>
    <s v="Credit Card"/>
    <x v="8"/>
    <x v="4"/>
    <n v="9.65"/>
    <n v="60"/>
    <x v="123"/>
    <n v="57.321000000000005"/>
  </r>
  <r>
    <n v="1148"/>
    <x v="64"/>
    <x v="7"/>
    <x v="7"/>
    <s v="789 28th Street"/>
    <x v="6"/>
    <x v="6"/>
    <n v="99999"/>
    <s v="USA"/>
    <x v="5"/>
    <x v="3"/>
    <d v="2014-06-30T00:00:00"/>
    <s v="Shipping Company C"/>
    <s v="Amritansh Raghav"/>
    <s v="789 28th Street"/>
    <x v="6"/>
    <s v="TN"/>
    <n v="99999"/>
    <s v="USA"/>
    <s v="Credit Card"/>
    <x v="13"/>
    <x v="8"/>
    <n v="18.399999999999999"/>
    <n v="98"/>
    <x v="124"/>
    <n v="183.9264"/>
  </r>
  <r>
    <n v="1149"/>
    <x v="65"/>
    <x v="12"/>
    <x v="12"/>
    <s v="123 9th Street"/>
    <x v="11"/>
    <x v="11"/>
    <n v="99999"/>
    <s v="USA"/>
    <x v="7"/>
    <x v="0"/>
    <d v="2014-06-11T00:00:00"/>
    <s v="Shipping Company A"/>
    <s v="Sven Mortensen"/>
    <s v="123 9th Street"/>
    <x v="11"/>
    <s v="UT"/>
    <n v="99999"/>
    <s v="USA"/>
    <s v="Check"/>
    <x v="14"/>
    <x v="9"/>
    <n v="19.5"/>
    <n v="27"/>
    <x v="125"/>
    <n v="51.070500000000003"/>
  </r>
  <r>
    <n v="1150"/>
    <x v="65"/>
    <x v="12"/>
    <x v="12"/>
    <s v="123 9th Street"/>
    <x v="11"/>
    <x v="11"/>
    <n v="99999"/>
    <s v="USA"/>
    <x v="7"/>
    <x v="0"/>
    <d v="2014-06-11T00:00:00"/>
    <s v="Shipping Company A"/>
    <s v="Sven Mortensen"/>
    <s v="123 9th Street"/>
    <x v="11"/>
    <s v="UT"/>
    <n v="99999"/>
    <s v="USA"/>
    <s v="Check"/>
    <x v="15"/>
    <x v="10"/>
    <n v="34.799999999999997"/>
    <n v="88"/>
    <x v="126"/>
    <n v="303.17759999999993"/>
  </r>
  <r>
    <n v="1151"/>
    <x v="66"/>
    <x v="6"/>
    <x v="6"/>
    <s v="123 6th Street"/>
    <x v="5"/>
    <x v="5"/>
    <n v="99999"/>
    <s v="USA"/>
    <x v="4"/>
    <x v="2"/>
    <d v="2014-06-08T00:00:00"/>
    <s v="Shipping Company B"/>
    <s v="Francisco Pérez-Olaeta"/>
    <s v="123 6th Street"/>
    <x v="5"/>
    <s v="WI"/>
    <n v="99999"/>
    <s v="USA"/>
    <s v="Credit Card"/>
    <x v="0"/>
    <x v="0"/>
    <n v="14"/>
    <n v="65"/>
    <x v="127"/>
    <n v="95.55"/>
  </r>
  <r>
    <n v="1152"/>
    <x v="67"/>
    <x v="3"/>
    <x v="3"/>
    <s v="123 8th Street"/>
    <x v="2"/>
    <x v="2"/>
    <n v="99999"/>
    <s v="USA"/>
    <x v="2"/>
    <x v="2"/>
    <d v="2014-06-10T00:00:00"/>
    <s v="Shipping Company B"/>
    <s v="Elizabeth Andersen"/>
    <s v="123 8th Street"/>
    <x v="2"/>
    <s v="OR"/>
    <n v="99999"/>
    <s v="USA"/>
    <s v="Check"/>
    <x v="9"/>
    <x v="5"/>
    <n v="40"/>
    <n v="38"/>
    <x v="128"/>
    <n v="148.96"/>
  </r>
  <r>
    <n v="1153"/>
    <x v="67"/>
    <x v="3"/>
    <x v="3"/>
    <s v="123 8th Street"/>
    <x v="2"/>
    <x v="2"/>
    <n v="99999"/>
    <s v="USA"/>
    <x v="2"/>
    <x v="2"/>
    <n v="41800"/>
    <s v="Shipping Company B"/>
    <s v="Elizabeth Andersen"/>
    <s v="123 8th Street"/>
    <x v="2"/>
    <s v="OR"/>
    <n v="99999"/>
    <s v="USA"/>
    <s v="Check"/>
    <x v="6"/>
    <x v="2"/>
    <n v="9.1999999999999993"/>
    <n v="80"/>
    <x v="129"/>
    <n v="70.656000000000006"/>
  </r>
  <r>
    <n v="1154"/>
    <x v="68"/>
    <x v="13"/>
    <x v="13"/>
    <s v="789 25th Street"/>
    <x v="7"/>
    <x v="7"/>
    <n v="99999"/>
    <s v="USA"/>
    <x v="6"/>
    <x v="1"/>
    <d v="2014-06-27T00:00:00"/>
    <s v="Shipping Company A"/>
    <s v="John Rodman"/>
    <s v="789 25th Street"/>
    <x v="7"/>
    <s v="IL"/>
    <n v="99999"/>
    <s v="USA"/>
    <s v="Cash"/>
    <x v="21"/>
    <x v="2"/>
    <n v="10"/>
    <n v="49"/>
    <x v="130"/>
    <n v="47.04"/>
  </r>
  <r>
    <n v="1155"/>
    <x v="69"/>
    <x v="14"/>
    <x v="14"/>
    <s v="789 26th Street"/>
    <x v="9"/>
    <x v="9"/>
    <n v="99999"/>
    <s v="USA"/>
    <x v="5"/>
    <x v="3"/>
    <d v="2014-06-28T00:00:00"/>
    <s v="Shipping Company C"/>
    <s v="Run Liu"/>
    <s v="789 26th Street"/>
    <x v="9"/>
    <s v="FL"/>
    <n v="99999"/>
    <s v="USA"/>
    <s v="Credit Card"/>
    <x v="22"/>
    <x v="13"/>
    <n v="21.35"/>
    <n v="90"/>
    <x v="131"/>
    <n v="186.38550000000004"/>
  </r>
  <r>
    <n v="1156"/>
    <x v="69"/>
    <x v="14"/>
    <x v="14"/>
    <s v="789 26th Street"/>
    <x v="9"/>
    <x v="9"/>
    <n v="99999"/>
    <s v="USA"/>
    <x v="5"/>
    <x v="3"/>
    <d v="2014-06-28T00:00:00"/>
    <s v="Shipping Company C"/>
    <s v="Run Liu"/>
    <s v="789 26th Street"/>
    <x v="9"/>
    <s v="FL"/>
    <n v="99999"/>
    <s v="USA"/>
    <s v="Credit Card"/>
    <x v="8"/>
    <x v="4"/>
    <n v="9.65"/>
    <n v="60"/>
    <x v="123"/>
    <n v="59.637000000000008"/>
  </r>
  <r>
    <n v="1157"/>
    <x v="69"/>
    <x v="14"/>
    <x v="14"/>
    <s v="789 26th Street"/>
    <x v="9"/>
    <x v="9"/>
    <n v="99999"/>
    <s v="USA"/>
    <x v="5"/>
    <x v="3"/>
    <n v="41818"/>
    <s v="Shipping Company C"/>
    <s v="Run Liu"/>
    <s v="789 26th Street"/>
    <x v="9"/>
    <s v="FL"/>
    <n v="99999"/>
    <s v="USA"/>
    <s v="Credit Card"/>
    <x v="13"/>
    <x v="8"/>
    <n v="18.399999999999999"/>
    <n v="39"/>
    <x v="132"/>
    <n v="71.759999999999991"/>
  </r>
  <r>
    <n v="1158"/>
    <x v="70"/>
    <x v="4"/>
    <x v="4"/>
    <s v="789 29th Street"/>
    <x v="3"/>
    <x v="3"/>
    <n v="99999"/>
    <s v="USA"/>
    <x v="3"/>
    <x v="0"/>
    <n v="41821"/>
    <s v="Shipping Company B"/>
    <s v="Soo Jung Lee"/>
    <s v="789 29th Street"/>
    <x v="3"/>
    <s v="CO"/>
    <n v="99999"/>
    <s v="USA"/>
    <s v="Check"/>
    <x v="0"/>
    <x v="0"/>
    <n v="14"/>
    <n v="79"/>
    <x v="133"/>
    <n v="113.91800000000001"/>
  </r>
  <r>
    <n v="1159"/>
    <x v="66"/>
    <x v="6"/>
    <x v="6"/>
    <s v="123 6th Street"/>
    <x v="5"/>
    <x v="5"/>
    <n v="99999"/>
    <s v="USA"/>
    <x v="4"/>
    <x v="2"/>
    <n v="41798"/>
    <s v="Shipping Company C"/>
    <s v="Francisco Pérez-Olaeta"/>
    <s v="123 6th Street"/>
    <x v="5"/>
    <s v="WI"/>
    <n v="99999"/>
    <s v="USA"/>
    <s v="Check"/>
    <x v="7"/>
    <x v="3"/>
    <n v="12.75"/>
    <n v="44"/>
    <x v="134"/>
    <n v="57.222000000000001"/>
  </r>
  <r>
    <n v="1161"/>
    <x v="71"/>
    <x v="1"/>
    <x v="1"/>
    <s v="123 4th Street"/>
    <x v="1"/>
    <x v="1"/>
    <n v="99999"/>
    <s v="USA"/>
    <x v="1"/>
    <x v="1"/>
    <n v="41796"/>
    <s v="Shipping Company A"/>
    <s v="Christina Lee"/>
    <s v="123 4th Street"/>
    <x v="1"/>
    <s v="NY"/>
    <n v="99999"/>
    <s v="USA"/>
    <s v="Credit Card"/>
    <x v="23"/>
    <x v="6"/>
    <n v="81"/>
    <n v="98"/>
    <x v="135"/>
    <n v="769.98599999999999"/>
  </r>
  <r>
    <n v="1162"/>
    <x v="71"/>
    <x v="1"/>
    <x v="1"/>
    <s v="123 4th Street"/>
    <x v="1"/>
    <x v="1"/>
    <n v="99999"/>
    <s v="USA"/>
    <x v="1"/>
    <x v="1"/>
    <n v="41796"/>
    <s v="Shipping Company A"/>
    <s v="Christina Lee"/>
    <s v="123 4th Street"/>
    <x v="1"/>
    <s v="NY"/>
    <n v="99999"/>
    <s v="USA"/>
    <s v="Credit Card"/>
    <x v="24"/>
    <x v="14"/>
    <n v="7"/>
    <n v="61"/>
    <x v="136"/>
    <n v="42.273000000000003"/>
  </r>
  <r>
    <n v="1164"/>
    <x v="67"/>
    <x v="3"/>
    <x v="3"/>
    <s v="123 8th Street"/>
    <x v="2"/>
    <x v="2"/>
    <n v="99999"/>
    <s v="USA"/>
    <x v="2"/>
    <x v="2"/>
    <d v="2014-06-10T00:00:00"/>
    <s v="Shipping Company C"/>
    <s v="Elizabeth Andersen"/>
    <s v="123 8th Street"/>
    <x v="2"/>
    <s v="OR"/>
    <n v="99999"/>
    <s v="USA"/>
    <s v="Credit Card"/>
    <x v="15"/>
    <x v="10"/>
    <n v="34.799999999999997"/>
    <n v="30"/>
    <x v="137"/>
    <n v="109.62"/>
  </r>
  <r>
    <n v="1167"/>
    <x v="72"/>
    <x v="5"/>
    <x v="5"/>
    <s v="123 3rd Street"/>
    <x v="4"/>
    <x v="4"/>
    <n v="99999"/>
    <s v="USA"/>
    <x v="0"/>
    <x v="0"/>
    <d v="2014-06-05T00:00:00"/>
    <s v="Shipping Company B"/>
    <s v="Thomas Axerr"/>
    <s v="123 3rd Street"/>
    <x v="4"/>
    <s v="CA"/>
    <n v="99999"/>
    <s v="USA"/>
    <s v="Cash"/>
    <x v="16"/>
    <x v="7"/>
    <n v="10"/>
    <n v="24"/>
    <x v="138"/>
    <n v="25.200000000000003"/>
  </r>
  <r>
    <n v="1168"/>
    <x v="72"/>
    <x v="5"/>
    <x v="5"/>
    <s v="123 3rd Street"/>
    <x v="4"/>
    <x v="4"/>
    <n v="99999"/>
    <s v="USA"/>
    <x v="0"/>
    <x v="0"/>
    <d v="2014-06-05T00:00:00"/>
    <s v="Shipping Company B"/>
    <s v="Thomas Axerr"/>
    <s v="123 3rd Street"/>
    <x v="4"/>
    <s v="CA"/>
    <n v="99999"/>
    <s v="USA"/>
    <s v="Cash"/>
    <x v="9"/>
    <x v="5"/>
    <n v="40"/>
    <n v="28"/>
    <x v="139"/>
    <n v="109.75999999999999"/>
  </r>
  <r>
    <n v="1172"/>
    <x v="61"/>
    <x v="8"/>
    <x v="8"/>
    <s v="123 10th Street"/>
    <x v="7"/>
    <x v="7"/>
    <n v="99999"/>
    <s v="USA"/>
    <x v="6"/>
    <x v="1"/>
    <d v="2014-06-12T00:00:00"/>
    <s v="Shipping Company B"/>
    <s v="Roland Wacker"/>
    <s v="123 10th Street"/>
    <x v="7"/>
    <s v="IL"/>
    <n v="99999"/>
    <s v="USA"/>
    <s v="Credit Card"/>
    <x v="18"/>
    <x v="1"/>
    <n v="10"/>
    <n v="74"/>
    <x v="140"/>
    <n v="71.78"/>
  </r>
  <r>
    <n v="1174"/>
    <x v="61"/>
    <x v="8"/>
    <x v="8"/>
    <s v="123 10th Street"/>
    <x v="7"/>
    <x v="7"/>
    <n v="99999"/>
    <s v="USA"/>
    <x v="6"/>
    <x v="1"/>
    <m/>
    <s v="Shipping Company A"/>
    <s v="Roland Wacker"/>
    <s v="123 10th Street"/>
    <x v="7"/>
    <s v="IL"/>
    <n v="99999"/>
    <s v="USA"/>
    <m/>
    <x v="1"/>
    <x v="1"/>
    <n v="3.5"/>
    <n v="90"/>
    <x v="141"/>
    <n v="30.24"/>
  </r>
  <r>
    <n v="1175"/>
    <x v="62"/>
    <x v="10"/>
    <x v="10"/>
    <s v="123 11th Street"/>
    <x v="9"/>
    <x v="9"/>
    <n v="99999"/>
    <s v="USA"/>
    <x v="5"/>
    <x v="3"/>
    <m/>
    <s v="Shipping Company C"/>
    <s v="Peter Krschne"/>
    <s v="123 11th Street"/>
    <x v="9"/>
    <s v="FL"/>
    <n v="99999"/>
    <s v="USA"/>
    <m/>
    <x v="9"/>
    <x v="5"/>
    <n v="40"/>
    <n v="27"/>
    <x v="142"/>
    <n v="111.24000000000001"/>
  </r>
  <r>
    <n v="1176"/>
    <x v="63"/>
    <x v="11"/>
    <x v="11"/>
    <s v="123 1st Street"/>
    <x v="10"/>
    <x v="10"/>
    <n v="99999"/>
    <s v="USA"/>
    <x v="2"/>
    <x v="2"/>
    <m/>
    <s v="Shipping Company C"/>
    <s v="Anna Bedecs"/>
    <s v="123 1st Street"/>
    <x v="10"/>
    <s v="WA"/>
    <n v="99999"/>
    <s v="USA"/>
    <m/>
    <x v="13"/>
    <x v="8"/>
    <n v="18.399999999999999"/>
    <n v="71"/>
    <x v="143"/>
    <n v="137.172"/>
  </r>
  <r>
    <n v="1177"/>
    <x v="64"/>
    <x v="7"/>
    <x v="7"/>
    <s v="789 28th Street"/>
    <x v="6"/>
    <x v="6"/>
    <n v="99999"/>
    <s v="USA"/>
    <x v="5"/>
    <x v="3"/>
    <d v="2014-06-30T00:00:00"/>
    <s v="Shipping Company C"/>
    <s v="Amritansh Raghav"/>
    <s v="789 28th Street"/>
    <x v="6"/>
    <s v="TN"/>
    <n v="99999"/>
    <s v="USA"/>
    <s v="Credit Card"/>
    <x v="5"/>
    <x v="0"/>
    <n v="46"/>
    <n v="74"/>
    <x v="144"/>
    <n v="340.40000000000003"/>
  </r>
  <r>
    <n v="1178"/>
    <x v="65"/>
    <x v="12"/>
    <x v="12"/>
    <s v="123 9th Street"/>
    <x v="11"/>
    <x v="11"/>
    <n v="99999"/>
    <s v="USA"/>
    <x v="7"/>
    <x v="0"/>
    <d v="2014-06-11T00:00:00"/>
    <s v="Shipping Company A"/>
    <s v="Sven Mortensen"/>
    <s v="123 9th Street"/>
    <x v="11"/>
    <s v="UT"/>
    <n v="99999"/>
    <s v="USA"/>
    <s v="Check"/>
    <x v="8"/>
    <x v="4"/>
    <n v="9.65"/>
    <n v="76"/>
    <x v="145"/>
    <n v="72.6066"/>
  </r>
  <r>
    <n v="1179"/>
    <x v="66"/>
    <x v="6"/>
    <x v="6"/>
    <s v="123 6th Street"/>
    <x v="5"/>
    <x v="5"/>
    <n v="99999"/>
    <s v="USA"/>
    <x v="4"/>
    <x v="2"/>
    <d v="2014-06-08T00:00:00"/>
    <s v="Shipping Company B"/>
    <s v="Francisco Pérez-Olaeta"/>
    <s v="123 6th Street"/>
    <x v="5"/>
    <s v="WI"/>
    <n v="99999"/>
    <s v="USA"/>
    <s v="Credit Card"/>
    <x v="7"/>
    <x v="3"/>
    <n v="12.75"/>
    <n v="96"/>
    <x v="146"/>
    <n v="123.62400000000001"/>
  </r>
  <r>
    <n v="1180"/>
    <x v="67"/>
    <x v="3"/>
    <x v="3"/>
    <s v="123 8th Street"/>
    <x v="2"/>
    <x v="2"/>
    <n v="99999"/>
    <s v="USA"/>
    <x v="2"/>
    <x v="2"/>
    <d v="2014-06-10T00:00:00"/>
    <s v="Shipping Company B"/>
    <s v="Elizabeth Andersen"/>
    <s v="123 8th Street"/>
    <x v="2"/>
    <s v="OR"/>
    <n v="99999"/>
    <s v="USA"/>
    <s v="Check"/>
    <x v="7"/>
    <x v="3"/>
    <n v="12.75"/>
    <n v="92"/>
    <x v="147"/>
    <n v="116.12700000000001"/>
  </r>
  <r>
    <n v="1181"/>
    <x v="68"/>
    <x v="13"/>
    <x v="13"/>
    <s v="789 25th Street"/>
    <x v="7"/>
    <x v="7"/>
    <n v="99999"/>
    <s v="USA"/>
    <x v="6"/>
    <x v="1"/>
    <d v="2014-06-27T00:00:00"/>
    <s v="Shipping Company A"/>
    <s v="John Rodman"/>
    <s v="789 25th Street"/>
    <x v="7"/>
    <s v="IL"/>
    <n v="99999"/>
    <s v="USA"/>
    <s v="Cash"/>
    <x v="12"/>
    <x v="7"/>
    <n v="22"/>
    <n v="93"/>
    <x v="148"/>
    <n v="200.50800000000001"/>
  </r>
  <r>
    <n v="1182"/>
    <x v="69"/>
    <x v="14"/>
    <x v="14"/>
    <s v="789 26th Street"/>
    <x v="9"/>
    <x v="9"/>
    <n v="99999"/>
    <s v="USA"/>
    <x v="5"/>
    <x v="3"/>
    <d v="2014-06-28T00:00:00"/>
    <s v="Shipping Company C"/>
    <s v="Run Liu"/>
    <s v="789 26th Street"/>
    <x v="9"/>
    <s v="FL"/>
    <n v="99999"/>
    <s v="USA"/>
    <s v="Credit Card"/>
    <x v="11"/>
    <x v="6"/>
    <n v="25"/>
    <n v="18"/>
    <x v="149"/>
    <n v="42.75"/>
  </r>
  <r>
    <n v="1183"/>
    <x v="70"/>
    <x v="4"/>
    <x v="4"/>
    <s v="789 29th Street"/>
    <x v="3"/>
    <x v="3"/>
    <n v="99999"/>
    <s v="USA"/>
    <x v="3"/>
    <x v="0"/>
    <d v="2014-07-01T00:00:00"/>
    <s v="Shipping Company B"/>
    <s v="Soo Jung Lee"/>
    <s v="789 29th Street"/>
    <x v="3"/>
    <s v="CO"/>
    <n v="99999"/>
    <s v="USA"/>
    <s v="Check"/>
    <x v="19"/>
    <x v="12"/>
    <n v="39"/>
    <n v="98"/>
    <x v="150"/>
    <n v="397.48800000000006"/>
  </r>
  <r>
    <n v="1184"/>
    <x v="66"/>
    <x v="6"/>
    <x v="6"/>
    <s v="123 6th Street"/>
    <x v="5"/>
    <x v="5"/>
    <n v="99999"/>
    <s v="USA"/>
    <x v="4"/>
    <x v="2"/>
    <d v="2014-06-08T00:00:00"/>
    <s v="Shipping Company C"/>
    <s v="Francisco Pérez-Olaeta"/>
    <s v="123 6th Street"/>
    <x v="5"/>
    <s v="WI"/>
    <n v="99999"/>
    <s v="USA"/>
    <s v="Check"/>
    <x v="2"/>
    <x v="1"/>
    <n v="30"/>
    <n v="46"/>
    <x v="65"/>
    <n v="135.24"/>
  </r>
  <r>
    <n v="1185"/>
    <x v="66"/>
    <x v="6"/>
    <x v="6"/>
    <s v="123 6th Street"/>
    <x v="5"/>
    <x v="5"/>
    <n v="99999"/>
    <s v="USA"/>
    <x v="4"/>
    <x v="2"/>
    <d v="2014-06-08T00:00:00"/>
    <s v="Shipping Company C"/>
    <s v="Francisco Pérez-Olaeta"/>
    <s v="123 6th Street"/>
    <x v="5"/>
    <s v="WI"/>
    <n v="99999"/>
    <s v="USA"/>
    <s v="Check"/>
    <x v="3"/>
    <x v="1"/>
    <n v="53"/>
    <n v="14"/>
    <x v="48"/>
    <n v="74.2"/>
  </r>
  <r>
    <n v="1186"/>
    <x v="71"/>
    <x v="1"/>
    <x v="1"/>
    <s v="123 4th Street"/>
    <x v="1"/>
    <x v="1"/>
    <n v="99999"/>
    <s v="USA"/>
    <x v="1"/>
    <x v="1"/>
    <m/>
    <m/>
    <s v="Christina Lee"/>
    <s v="123 4th Street"/>
    <x v="1"/>
    <s v="NY"/>
    <n v="99999"/>
    <s v="USA"/>
    <m/>
    <x v="20"/>
    <x v="9"/>
    <n v="38"/>
    <n v="85"/>
    <x v="151"/>
    <n v="319.77"/>
  </r>
  <r>
    <n v="1187"/>
    <x v="72"/>
    <x v="5"/>
    <x v="5"/>
    <s v="123 3rd Street"/>
    <x v="4"/>
    <x v="4"/>
    <n v="99999"/>
    <s v="USA"/>
    <x v="0"/>
    <x v="0"/>
    <m/>
    <m/>
    <s v="Thomas Axerr"/>
    <s v="123 3rd Street"/>
    <x v="4"/>
    <s v="CA"/>
    <n v="99999"/>
    <s v="USA"/>
    <m/>
    <x v="10"/>
    <x v="0"/>
    <n v="2.99"/>
    <n v="88"/>
    <x v="76"/>
    <n v="25.522639999999999"/>
  </r>
  <r>
    <n v="1188"/>
    <x v="73"/>
    <x v="11"/>
    <x v="11"/>
    <s v="123 1st Street"/>
    <x v="10"/>
    <x v="10"/>
    <n v="99999"/>
    <s v="USA"/>
    <x v="2"/>
    <x v="2"/>
    <m/>
    <m/>
    <s v="Anna Bedecs"/>
    <s v="123 1st Street"/>
    <x v="10"/>
    <s v="WA"/>
    <n v="99999"/>
    <s v="USA"/>
    <m/>
    <x v="10"/>
    <x v="0"/>
    <n v="2.99"/>
    <n v="81"/>
    <x v="152"/>
    <n v="23.976810000000004"/>
  </r>
  <r>
    <n v="1189"/>
    <x v="74"/>
    <x v="7"/>
    <x v="7"/>
    <s v="789 28th Street"/>
    <x v="6"/>
    <x v="6"/>
    <n v="99999"/>
    <s v="USA"/>
    <x v="5"/>
    <x v="3"/>
    <d v="2014-07-30T00:00:00"/>
    <s v="Shipping Company C"/>
    <s v="Amritansh Raghav"/>
    <s v="789 28th Street"/>
    <x v="6"/>
    <s v="TN"/>
    <n v="99999"/>
    <s v="USA"/>
    <s v="Credit Card"/>
    <x v="8"/>
    <x v="4"/>
    <n v="9.65"/>
    <n v="33"/>
    <x v="153"/>
    <n v="30.252749999999999"/>
  </r>
  <r>
    <n v="1190"/>
    <x v="74"/>
    <x v="7"/>
    <x v="7"/>
    <s v="789 28th Street"/>
    <x v="6"/>
    <x v="6"/>
    <n v="99999"/>
    <s v="USA"/>
    <x v="5"/>
    <x v="3"/>
    <d v="2014-07-30T00:00:00"/>
    <s v="Shipping Company C"/>
    <s v="Amritansh Raghav"/>
    <s v="789 28th Street"/>
    <x v="6"/>
    <s v="TN"/>
    <n v="99999"/>
    <s v="USA"/>
    <s v="Credit Card"/>
    <x v="13"/>
    <x v="8"/>
    <n v="18.399999999999999"/>
    <n v="47"/>
    <x v="154"/>
    <n v="90.804000000000002"/>
  </r>
  <r>
    <n v="1191"/>
    <x v="75"/>
    <x v="12"/>
    <x v="12"/>
    <s v="123 9th Street"/>
    <x v="11"/>
    <x v="11"/>
    <n v="99999"/>
    <s v="USA"/>
    <x v="7"/>
    <x v="0"/>
    <d v="2014-07-11T00:00:00"/>
    <s v="Shipping Company A"/>
    <s v="Sven Mortensen"/>
    <s v="123 9th Street"/>
    <x v="11"/>
    <s v="UT"/>
    <n v="99999"/>
    <s v="USA"/>
    <s v="Check"/>
    <x v="14"/>
    <x v="9"/>
    <n v="19.5"/>
    <n v="61"/>
    <x v="155"/>
    <n v="123.70800000000001"/>
  </r>
  <r>
    <n v="1192"/>
    <x v="75"/>
    <x v="12"/>
    <x v="12"/>
    <s v="123 9th Street"/>
    <x v="11"/>
    <x v="11"/>
    <n v="99999"/>
    <s v="USA"/>
    <x v="7"/>
    <x v="0"/>
    <d v="2014-07-11T00:00:00"/>
    <s v="Shipping Company A"/>
    <s v="Sven Mortensen"/>
    <s v="123 9th Street"/>
    <x v="11"/>
    <s v="UT"/>
    <n v="99999"/>
    <s v="USA"/>
    <s v="Check"/>
    <x v="15"/>
    <x v="10"/>
    <n v="34.799999999999997"/>
    <n v="27"/>
    <x v="156"/>
    <n v="95.839199999999991"/>
  </r>
  <r>
    <n v="1193"/>
    <x v="76"/>
    <x v="6"/>
    <x v="6"/>
    <s v="123 6th Street"/>
    <x v="5"/>
    <x v="5"/>
    <n v="99999"/>
    <s v="USA"/>
    <x v="4"/>
    <x v="2"/>
    <d v="2014-07-08T00:00:00"/>
    <s v="Shipping Company B"/>
    <s v="Francisco Pérez-Olaeta"/>
    <s v="123 6th Street"/>
    <x v="5"/>
    <s v="WI"/>
    <n v="99999"/>
    <s v="USA"/>
    <s v="Credit Card"/>
    <x v="0"/>
    <x v="0"/>
    <n v="14"/>
    <n v="84"/>
    <x v="102"/>
    <n v="118.77600000000001"/>
  </r>
  <r>
    <n v="1194"/>
    <x v="77"/>
    <x v="3"/>
    <x v="3"/>
    <s v="123 8th Street"/>
    <x v="2"/>
    <x v="2"/>
    <n v="99999"/>
    <s v="USA"/>
    <x v="2"/>
    <x v="2"/>
    <d v="2014-07-10T00:00:00"/>
    <s v="Shipping Company B"/>
    <s v="Elizabeth Andersen"/>
    <s v="123 8th Street"/>
    <x v="2"/>
    <s v="OR"/>
    <n v="99999"/>
    <s v="USA"/>
    <s v="Check"/>
    <x v="9"/>
    <x v="5"/>
    <n v="40"/>
    <n v="91"/>
    <x v="157"/>
    <n v="360.36"/>
  </r>
  <r>
    <n v="1195"/>
    <x v="77"/>
    <x v="3"/>
    <x v="3"/>
    <s v="123 8th Street"/>
    <x v="2"/>
    <x v="2"/>
    <n v="99999"/>
    <s v="USA"/>
    <x v="2"/>
    <x v="2"/>
    <d v="2014-07-10T00:00:00"/>
    <s v="Shipping Company B"/>
    <s v="Elizabeth Andersen"/>
    <s v="123 8th Street"/>
    <x v="2"/>
    <s v="OR"/>
    <n v="99999"/>
    <s v="USA"/>
    <s v="Check"/>
    <x v="6"/>
    <x v="2"/>
    <n v="9.1999999999999993"/>
    <n v="36"/>
    <x v="158"/>
    <n v="34.444800000000001"/>
  </r>
  <r>
    <n v="1196"/>
    <x v="78"/>
    <x v="13"/>
    <x v="13"/>
    <s v="789 25th Street"/>
    <x v="7"/>
    <x v="7"/>
    <n v="99999"/>
    <s v="USA"/>
    <x v="6"/>
    <x v="1"/>
    <n v="41847"/>
    <s v="Shipping Company A"/>
    <s v="John Rodman"/>
    <s v="789 25th Street"/>
    <x v="7"/>
    <s v="IL"/>
    <n v="99999"/>
    <s v="USA"/>
    <s v="Cash"/>
    <x v="21"/>
    <x v="2"/>
    <n v="10"/>
    <n v="34"/>
    <x v="159"/>
    <n v="34.340000000000003"/>
  </r>
  <r>
    <n v="1197"/>
    <x v="79"/>
    <x v="14"/>
    <x v="14"/>
    <s v="789 26th Street"/>
    <x v="9"/>
    <x v="9"/>
    <n v="99999"/>
    <s v="USA"/>
    <x v="5"/>
    <x v="3"/>
    <n v="41848"/>
    <s v="Shipping Company C"/>
    <s v="Run Liu"/>
    <s v="789 26th Street"/>
    <x v="9"/>
    <s v="FL"/>
    <n v="99999"/>
    <s v="USA"/>
    <s v="Credit Card"/>
    <x v="22"/>
    <x v="13"/>
    <n v="21.35"/>
    <n v="81"/>
    <x v="160"/>
    <n v="178.12305000000003"/>
  </r>
  <r>
    <n v="1198"/>
    <x v="79"/>
    <x v="14"/>
    <x v="14"/>
    <s v="789 26th Street"/>
    <x v="9"/>
    <x v="9"/>
    <n v="99999"/>
    <s v="USA"/>
    <x v="5"/>
    <x v="3"/>
    <n v="41848"/>
    <s v="Shipping Company C"/>
    <s v="Run Liu"/>
    <s v="789 26th Street"/>
    <x v="9"/>
    <s v="FL"/>
    <n v="99999"/>
    <s v="USA"/>
    <s v="Credit Card"/>
    <x v="8"/>
    <x v="4"/>
    <n v="9.65"/>
    <n v="25"/>
    <x v="161"/>
    <n v="23.401250000000001"/>
  </r>
  <r>
    <n v="1199"/>
    <x v="79"/>
    <x v="14"/>
    <x v="14"/>
    <s v="789 26th Street"/>
    <x v="9"/>
    <x v="9"/>
    <n v="99999"/>
    <s v="USA"/>
    <x v="5"/>
    <x v="3"/>
    <n v="41848"/>
    <s v="Shipping Company C"/>
    <s v="Run Liu"/>
    <s v="789 26th Street"/>
    <x v="9"/>
    <s v="FL"/>
    <n v="99999"/>
    <s v="USA"/>
    <s v="Credit Card"/>
    <x v="13"/>
    <x v="8"/>
    <n v="18.399999999999999"/>
    <n v="12"/>
    <x v="162"/>
    <n v="22.08"/>
  </r>
  <r>
    <n v="1200"/>
    <x v="80"/>
    <x v="4"/>
    <x v="4"/>
    <s v="789 29th Street"/>
    <x v="3"/>
    <x v="3"/>
    <n v="99999"/>
    <s v="USA"/>
    <x v="3"/>
    <x v="0"/>
    <d v="2014-07-31T00:00:00"/>
    <s v="Shipping Company B"/>
    <s v="Soo Jung Lee"/>
    <s v="789 29th Street"/>
    <x v="3"/>
    <s v="CO"/>
    <n v="99999"/>
    <s v="USA"/>
    <s v="Check"/>
    <x v="0"/>
    <x v="0"/>
    <n v="14"/>
    <n v="23"/>
    <x v="163"/>
    <n v="30.912000000000003"/>
  </r>
  <r>
    <n v="1201"/>
    <x v="76"/>
    <x v="6"/>
    <x v="6"/>
    <s v="123 6th Street"/>
    <x v="5"/>
    <x v="5"/>
    <n v="99999"/>
    <s v="USA"/>
    <x v="4"/>
    <x v="2"/>
    <d v="2014-07-08T00:00:00"/>
    <s v="Shipping Company C"/>
    <s v="Francisco Pérez-Olaeta"/>
    <s v="123 6th Street"/>
    <x v="5"/>
    <s v="WI"/>
    <n v="99999"/>
    <s v="USA"/>
    <s v="Check"/>
    <x v="7"/>
    <x v="3"/>
    <n v="12.75"/>
    <n v="76"/>
    <x v="164"/>
    <n v="97.869"/>
  </r>
  <r>
    <n v="1203"/>
    <x v="81"/>
    <x v="1"/>
    <x v="1"/>
    <s v="123 4th Street"/>
    <x v="1"/>
    <x v="1"/>
    <n v="99999"/>
    <s v="USA"/>
    <x v="1"/>
    <x v="1"/>
    <d v="2014-07-06T00:00:00"/>
    <s v="Shipping Company A"/>
    <s v="Christina Lee"/>
    <s v="123 4th Street"/>
    <x v="1"/>
    <s v="NY"/>
    <n v="99999"/>
    <s v="USA"/>
    <s v="Credit Card"/>
    <x v="23"/>
    <x v="6"/>
    <n v="81"/>
    <n v="55"/>
    <x v="165"/>
    <n v="445.5"/>
  </r>
  <r>
    <n v="1204"/>
    <x v="81"/>
    <x v="1"/>
    <x v="1"/>
    <s v="123 4th Street"/>
    <x v="1"/>
    <x v="1"/>
    <n v="99999"/>
    <s v="USA"/>
    <x v="1"/>
    <x v="1"/>
    <d v="2014-07-06T00:00:00"/>
    <s v="Shipping Company A"/>
    <s v="Christina Lee"/>
    <s v="123 4th Street"/>
    <x v="1"/>
    <s v="NY"/>
    <n v="99999"/>
    <s v="USA"/>
    <s v="Credit Card"/>
    <x v="24"/>
    <x v="14"/>
    <n v="7"/>
    <n v="19"/>
    <x v="166"/>
    <n v="12.901"/>
  </r>
  <r>
    <n v="1206"/>
    <x v="77"/>
    <x v="3"/>
    <x v="3"/>
    <s v="123 8th Street"/>
    <x v="2"/>
    <x v="2"/>
    <n v="99999"/>
    <s v="USA"/>
    <x v="2"/>
    <x v="2"/>
    <d v="2014-07-10T00:00:00"/>
    <s v="Shipping Company C"/>
    <s v="Elizabeth Andersen"/>
    <s v="123 8th Street"/>
    <x v="2"/>
    <s v="OR"/>
    <n v="99999"/>
    <s v="USA"/>
    <s v="Credit Card"/>
    <x v="15"/>
    <x v="10"/>
    <n v="34.799999999999997"/>
    <n v="27"/>
    <x v="156"/>
    <n v="89.261999999999986"/>
  </r>
  <r>
    <n v="1209"/>
    <x v="82"/>
    <x v="5"/>
    <x v="5"/>
    <s v="123 3rd Street"/>
    <x v="4"/>
    <x v="4"/>
    <n v="99999"/>
    <s v="USA"/>
    <x v="0"/>
    <x v="0"/>
    <d v="2014-07-05T00:00:00"/>
    <s v="Shipping Company B"/>
    <s v="Thomas Axerr"/>
    <s v="123 3rd Street"/>
    <x v="4"/>
    <s v="CA"/>
    <n v="99999"/>
    <s v="USA"/>
    <s v="Cash"/>
    <x v="16"/>
    <x v="7"/>
    <n v="10"/>
    <n v="99"/>
    <x v="82"/>
    <n v="95.039999999999992"/>
  </r>
  <r>
    <n v="1210"/>
    <x v="82"/>
    <x v="5"/>
    <x v="5"/>
    <s v="123 3rd Street"/>
    <x v="4"/>
    <x v="4"/>
    <n v="99999"/>
    <s v="USA"/>
    <x v="0"/>
    <x v="0"/>
    <d v="2014-07-05T00:00:00"/>
    <s v="Shipping Company B"/>
    <s v="Thomas Axerr"/>
    <s v="123 3rd Street"/>
    <x v="4"/>
    <s v="CA"/>
    <n v="99999"/>
    <s v="USA"/>
    <s v="Cash"/>
    <x v="9"/>
    <x v="5"/>
    <n v="40"/>
    <n v="10"/>
    <x v="167"/>
    <n v="40"/>
  </r>
  <r>
    <n v="1214"/>
    <x v="83"/>
    <x v="8"/>
    <x v="8"/>
    <s v="123 10th Street"/>
    <x v="7"/>
    <x v="7"/>
    <n v="99999"/>
    <s v="USA"/>
    <x v="6"/>
    <x v="1"/>
    <d v="2014-07-12T00:00:00"/>
    <s v="Shipping Company B"/>
    <s v="Roland Wacker"/>
    <s v="123 10th Street"/>
    <x v="7"/>
    <s v="IL"/>
    <n v="99999"/>
    <s v="USA"/>
    <s v="Credit Card"/>
    <x v="18"/>
    <x v="1"/>
    <n v="10"/>
    <n v="80"/>
    <x v="168"/>
    <n v="77.599999999999994"/>
  </r>
  <r>
    <n v="1216"/>
    <x v="83"/>
    <x v="8"/>
    <x v="8"/>
    <s v="123 10th Street"/>
    <x v="7"/>
    <x v="7"/>
    <n v="99999"/>
    <s v="USA"/>
    <x v="6"/>
    <x v="1"/>
    <m/>
    <s v="Shipping Company A"/>
    <s v="Roland Wacker"/>
    <s v="123 10th Street"/>
    <x v="7"/>
    <s v="IL"/>
    <n v="99999"/>
    <s v="USA"/>
    <m/>
    <x v="1"/>
    <x v="1"/>
    <n v="3.5"/>
    <n v="27"/>
    <x v="169"/>
    <n v="9.072000000000001"/>
  </r>
  <r>
    <n v="1217"/>
    <x v="84"/>
    <x v="10"/>
    <x v="10"/>
    <s v="123 11th Street"/>
    <x v="9"/>
    <x v="9"/>
    <n v="99999"/>
    <s v="USA"/>
    <x v="5"/>
    <x v="3"/>
    <m/>
    <s v="Shipping Company C"/>
    <s v="Peter Krschne"/>
    <s v="123 11th Street"/>
    <x v="9"/>
    <s v="FL"/>
    <n v="99999"/>
    <s v="USA"/>
    <m/>
    <x v="9"/>
    <x v="5"/>
    <n v="40"/>
    <n v="97"/>
    <x v="170"/>
    <n v="380.24"/>
  </r>
  <r>
    <n v="1218"/>
    <x v="73"/>
    <x v="11"/>
    <x v="11"/>
    <s v="123 1st Street"/>
    <x v="10"/>
    <x v="10"/>
    <n v="99999"/>
    <s v="USA"/>
    <x v="2"/>
    <x v="2"/>
    <m/>
    <s v="Shipping Company C"/>
    <s v="Anna Bedecs"/>
    <s v="123 1st Street"/>
    <x v="10"/>
    <s v="WA"/>
    <n v="99999"/>
    <s v="USA"/>
    <m/>
    <x v="13"/>
    <x v="8"/>
    <n v="18.399999999999999"/>
    <n v="42"/>
    <x v="171"/>
    <n v="80.371200000000002"/>
  </r>
  <r>
    <n v="1219"/>
    <x v="74"/>
    <x v="7"/>
    <x v="7"/>
    <s v="789 28th Street"/>
    <x v="6"/>
    <x v="6"/>
    <n v="99999"/>
    <s v="USA"/>
    <x v="5"/>
    <x v="3"/>
    <n v="41850"/>
    <s v="Shipping Company C"/>
    <s v="Amritansh Raghav"/>
    <s v="789 28th Street"/>
    <x v="6"/>
    <s v="TN"/>
    <n v="99999"/>
    <s v="USA"/>
    <s v="Credit Card"/>
    <x v="5"/>
    <x v="0"/>
    <n v="46"/>
    <n v="24"/>
    <x v="15"/>
    <n v="105.98399999999999"/>
  </r>
  <r>
    <n v="1220"/>
    <x v="75"/>
    <x v="12"/>
    <x v="12"/>
    <s v="123 9th Street"/>
    <x v="11"/>
    <x v="11"/>
    <n v="99999"/>
    <s v="USA"/>
    <x v="7"/>
    <x v="0"/>
    <d v="2014-07-11T00:00:00"/>
    <s v="Shipping Company A"/>
    <s v="Sven Mortensen"/>
    <s v="123 9th Street"/>
    <x v="11"/>
    <s v="UT"/>
    <n v="99999"/>
    <s v="USA"/>
    <s v="Check"/>
    <x v="8"/>
    <x v="4"/>
    <n v="9.65"/>
    <n v="90"/>
    <x v="172"/>
    <n v="83.376000000000005"/>
  </r>
  <r>
    <n v="1221"/>
    <x v="76"/>
    <x v="6"/>
    <x v="6"/>
    <s v="123 6th Street"/>
    <x v="5"/>
    <x v="5"/>
    <n v="99999"/>
    <s v="USA"/>
    <x v="4"/>
    <x v="2"/>
    <d v="2014-07-08T00:00:00"/>
    <s v="Shipping Company B"/>
    <s v="Francisco Pérez-Olaeta"/>
    <s v="123 6th Street"/>
    <x v="5"/>
    <s v="WI"/>
    <n v="99999"/>
    <s v="USA"/>
    <s v="Credit Card"/>
    <x v="7"/>
    <x v="3"/>
    <n v="12.75"/>
    <n v="28"/>
    <x v="173"/>
    <n v="35.700000000000003"/>
  </r>
  <r>
    <n v="1222"/>
    <x v="85"/>
    <x v="7"/>
    <x v="7"/>
    <s v="789 28th Street"/>
    <x v="6"/>
    <x v="6"/>
    <n v="99999"/>
    <s v="USA"/>
    <x v="5"/>
    <x v="3"/>
    <d v="2014-08-30T00:00:00"/>
    <s v="Shipping Company C"/>
    <s v="Amritansh Raghav"/>
    <s v="789 28th Street"/>
    <x v="6"/>
    <s v="TN"/>
    <n v="99999"/>
    <s v="USA"/>
    <s v="Check"/>
    <x v="5"/>
    <x v="0"/>
    <n v="46"/>
    <n v="28"/>
    <x v="174"/>
    <n v="133.95200000000003"/>
  </r>
  <r>
    <n v="1223"/>
    <x v="86"/>
    <x v="3"/>
    <x v="3"/>
    <s v="123 8th Street"/>
    <x v="2"/>
    <x v="2"/>
    <n v="99999"/>
    <s v="USA"/>
    <x v="2"/>
    <x v="2"/>
    <d v="2014-08-10T00:00:00"/>
    <s v="Shipping Company C"/>
    <s v="Elizabeth Andersen"/>
    <s v="123 8th Street"/>
    <x v="2"/>
    <s v="OR"/>
    <n v="99999"/>
    <s v="USA"/>
    <s v="Check"/>
    <x v="7"/>
    <x v="3"/>
    <n v="12.75"/>
    <n v="57"/>
    <x v="175"/>
    <n v="69.768000000000001"/>
  </r>
  <r>
    <n v="1224"/>
    <x v="87"/>
    <x v="8"/>
    <x v="8"/>
    <s v="123 10th Street"/>
    <x v="7"/>
    <x v="7"/>
    <n v="99999"/>
    <s v="USA"/>
    <x v="6"/>
    <x v="1"/>
    <d v="2014-08-12T00:00:00"/>
    <s v="Shipping Company B"/>
    <s v="Roland Wacker"/>
    <s v="123 10th Street"/>
    <x v="7"/>
    <s v="IL"/>
    <n v="99999"/>
    <s v="USA"/>
    <s v="Credit Card"/>
    <x v="10"/>
    <x v="0"/>
    <n v="2.99"/>
    <n v="23"/>
    <x v="176"/>
    <n v="6.6706900000000013"/>
  </r>
  <r>
    <n v="1225"/>
    <x v="88"/>
    <x v="9"/>
    <x v="9"/>
    <s v="123 7th Street"/>
    <x v="8"/>
    <x v="8"/>
    <n v="99999"/>
    <s v="USA"/>
    <x v="2"/>
    <x v="2"/>
    <m/>
    <m/>
    <s v="Ming-Yang Xie"/>
    <s v="123 7th Street"/>
    <x v="8"/>
    <s v="ID"/>
    <n v="99999"/>
    <s v="USA"/>
    <m/>
    <x v="5"/>
    <x v="0"/>
    <n v="46"/>
    <n v="86"/>
    <x v="177"/>
    <n v="399.55600000000004"/>
  </r>
  <r>
    <n v="1226"/>
    <x v="87"/>
    <x v="8"/>
    <x v="8"/>
    <s v="123 10th Street"/>
    <x v="7"/>
    <x v="7"/>
    <n v="99999"/>
    <s v="USA"/>
    <x v="6"/>
    <x v="1"/>
    <d v="2014-08-12T00:00:00"/>
    <s v="Shipping Company A"/>
    <s v="Roland Wacker"/>
    <s v="123 10th Street"/>
    <x v="7"/>
    <s v="IL"/>
    <n v="99999"/>
    <s v="USA"/>
    <m/>
    <x v="11"/>
    <x v="6"/>
    <n v="25"/>
    <n v="47"/>
    <x v="178"/>
    <n v="116.325"/>
  </r>
  <r>
    <n v="1227"/>
    <x v="87"/>
    <x v="8"/>
    <x v="8"/>
    <s v="123 10th Street"/>
    <x v="7"/>
    <x v="7"/>
    <n v="99999"/>
    <s v="USA"/>
    <x v="6"/>
    <x v="1"/>
    <d v="2014-08-12T00:00:00"/>
    <s v="Shipping Company A"/>
    <s v="Roland Wacker"/>
    <s v="123 10th Street"/>
    <x v="7"/>
    <s v="IL"/>
    <n v="99999"/>
    <s v="USA"/>
    <m/>
    <x v="12"/>
    <x v="7"/>
    <n v="22"/>
    <n v="97"/>
    <x v="179"/>
    <n v="221.93600000000001"/>
  </r>
  <r>
    <n v="1228"/>
    <x v="87"/>
    <x v="8"/>
    <x v="8"/>
    <s v="123 10th Street"/>
    <x v="7"/>
    <x v="7"/>
    <n v="99999"/>
    <s v="USA"/>
    <x v="6"/>
    <x v="1"/>
    <d v="2014-08-12T00:00:00"/>
    <s v="Shipping Company A"/>
    <s v="Roland Wacker"/>
    <s v="123 10th Street"/>
    <x v="7"/>
    <s v="IL"/>
    <n v="99999"/>
    <s v="USA"/>
    <m/>
    <x v="6"/>
    <x v="2"/>
    <n v="9.1999999999999993"/>
    <n v="96"/>
    <x v="180"/>
    <n v="86.553599999999989"/>
  </r>
  <r>
    <n v="1229"/>
    <x v="89"/>
    <x v="10"/>
    <x v="10"/>
    <s v="123 11th Street"/>
    <x v="9"/>
    <x v="9"/>
    <n v="99999"/>
    <s v="USA"/>
    <x v="5"/>
    <x v="3"/>
    <m/>
    <s v="Shipping Company C"/>
    <s v="Peter Krschne"/>
    <s v="123 11th Street"/>
    <x v="9"/>
    <s v="FL"/>
    <n v="99999"/>
    <s v="USA"/>
    <m/>
    <x v="1"/>
    <x v="1"/>
    <n v="3.5"/>
    <n v="31"/>
    <x v="181"/>
    <n v="10.850000000000001"/>
  </r>
  <r>
    <n v="1230"/>
    <x v="89"/>
    <x v="10"/>
    <x v="10"/>
    <s v="123 11th Street"/>
    <x v="9"/>
    <x v="9"/>
    <n v="99999"/>
    <s v="USA"/>
    <x v="5"/>
    <x v="3"/>
    <m/>
    <s v="Shipping Company C"/>
    <s v="Peter Krschne"/>
    <s v="123 11th Street"/>
    <x v="9"/>
    <s v="FL"/>
    <n v="99999"/>
    <s v="USA"/>
    <m/>
    <x v="10"/>
    <x v="0"/>
    <n v="2.99"/>
    <n v="52"/>
    <x v="182"/>
    <n v="16.014440000000004"/>
  </r>
  <r>
    <n v="1231"/>
    <x v="90"/>
    <x v="11"/>
    <x v="11"/>
    <s v="123 1st Street"/>
    <x v="10"/>
    <x v="10"/>
    <n v="99999"/>
    <s v="USA"/>
    <x v="2"/>
    <x v="2"/>
    <m/>
    <m/>
    <s v="Anna Bedecs"/>
    <s v="123 1st Street"/>
    <x v="10"/>
    <s v="WA"/>
    <n v="99999"/>
    <s v="USA"/>
    <m/>
    <x v="4"/>
    <x v="0"/>
    <n v="18"/>
    <n v="91"/>
    <x v="183"/>
    <n v="158.886"/>
  </r>
  <r>
    <n v="1232"/>
    <x v="90"/>
    <x v="11"/>
    <x v="11"/>
    <s v="123 1st Street"/>
    <x v="10"/>
    <x v="10"/>
    <n v="99999"/>
    <s v="USA"/>
    <x v="2"/>
    <x v="2"/>
    <m/>
    <m/>
    <s v="Anna Bedecs"/>
    <s v="123 1st Street"/>
    <x v="10"/>
    <s v="WA"/>
    <n v="99999"/>
    <s v="USA"/>
    <m/>
    <x v="5"/>
    <x v="0"/>
    <n v="46"/>
    <n v="14"/>
    <x v="184"/>
    <n v="63.756000000000007"/>
  </r>
  <r>
    <n v="1233"/>
    <x v="90"/>
    <x v="11"/>
    <x v="11"/>
    <s v="123 1st Street"/>
    <x v="10"/>
    <x v="10"/>
    <n v="99999"/>
    <s v="USA"/>
    <x v="2"/>
    <x v="2"/>
    <m/>
    <m/>
    <s v="Anna Bedecs"/>
    <s v="123 1st Street"/>
    <x v="10"/>
    <s v="WA"/>
    <n v="99999"/>
    <s v="USA"/>
    <m/>
    <x v="10"/>
    <x v="0"/>
    <n v="2.99"/>
    <n v="44"/>
    <x v="185"/>
    <n v="13.287560000000001"/>
  </r>
  <r>
    <n v="1234"/>
    <x v="85"/>
    <x v="7"/>
    <x v="7"/>
    <s v="789 28th Street"/>
    <x v="6"/>
    <x v="6"/>
    <n v="99999"/>
    <s v="USA"/>
    <x v="5"/>
    <x v="3"/>
    <d v="2014-08-30T00:00:00"/>
    <s v="Shipping Company C"/>
    <s v="Amritansh Raghav"/>
    <s v="789 28th Street"/>
    <x v="6"/>
    <s v="TN"/>
    <n v="99999"/>
    <s v="USA"/>
    <s v="Credit Card"/>
    <x v="8"/>
    <x v="4"/>
    <n v="9.65"/>
    <n v="97"/>
    <x v="53"/>
    <n v="95.477100000000021"/>
  </r>
  <r>
    <n v="1235"/>
    <x v="85"/>
    <x v="7"/>
    <x v="7"/>
    <s v="789 28th Street"/>
    <x v="6"/>
    <x v="6"/>
    <n v="99999"/>
    <s v="USA"/>
    <x v="5"/>
    <x v="3"/>
    <d v="2014-08-30T00:00:00"/>
    <s v="Shipping Company C"/>
    <s v="Amritansh Raghav"/>
    <s v="789 28th Street"/>
    <x v="6"/>
    <s v="TN"/>
    <n v="99999"/>
    <s v="USA"/>
    <s v="Credit Card"/>
    <x v="13"/>
    <x v="8"/>
    <n v="18.399999999999999"/>
    <n v="80"/>
    <x v="36"/>
    <n v="150.14400000000003"/>
  </r>
  <r>
    <n v="1236"/>
    <x v="91"/>
    <x v="12"/>
    <x v="12"/>
    <s v="123 9th Street"/>
    <x v="11"/>
    <x v="11"/>
    <n v="99999"/>
    <s v="USA"/>
    <x v="7"/>
    <x v="0"/>
    <d v="2014-08-11T00:00:00"/>
    <s v="Shipping Company A"/>
    <s v="Sven Mortensen"/>
    <s v="123 9th Street"/>
    <x v="11"/>
    <s v="UT"/>
    <n v="99999"/>
    <s v="USA"/>
    <s v="Check"/>
    <x v="14"/>
    <x v="9"/>
    <n v="19.5"/>
    <n v="66"/>
    <x v="186"/>
    <n v="132.56100000000001"/>
  </r>
  <r>
    <n v="1237"/>
    <x v="91"/>
    <x v="12"/>
    <x v="12"/>
    <s v="123 9th Street"/>
    <x v="11"/>
    <x v="11"/>
    <n v="99999"/>
    <s v="USA"/>
    <x v="7"/>
    <x v="0"/>
    <d v="2014-08-11T00:00:00"/>
    <s v="Shipping Company A"/>
    <s v="Sven Mortensen"/>
    <s v="123 9th Street"/>
    <x v="11"/>
    <s v="UT"/>
    <n v="99999"/>
    <s v="USA"/>
    <s v="Check"/>
    <x v="15"/>
    <x v="10"/>
    <n v="34.799999999999997"/>
    <n v="32"/>
    <x v="187"/>
    <n v="111.36"/>
  </r>
  <r>
    <n v="1238"/>
    <x v="92"/>
    <x v="6"/>
    <x v="6"/>
    <s v="123 6th Street"/>
    <x v="5"/>
    <x v="5"/>
    <n v="99999"/>
    <s v="USA"/>
    <x v="4"/>
    <x v="2"/>
    <d v="2014-08-08T00:00:00"/>
    <s v="Shipping Company B"/>
    <s v="Francisco Pérez-Olaeta"/>
    <s v="123 6th Street"/>
    <x v="5"/>
    <s v="WI"/>
    <n v="99999"/>
    <s v="USA"/>
    <s v="Credit Card"/>
    <x v="0"/>
    <x v="0"/>
    <n v="14"/>
    <n v="52"/>
    <x v="188"/>
    <n v="72.8"/>
  </r>
  <r>
    <n v="1239"/>
    <x v="86"/>
    <x v="3"/>
    <x v="3"/>
    <s v="123 8th Street"/>
    <x v="2"/>
    <x v="2"/>
    <n v="99999"/>
    <s v="USA"/>
    <x v="2"/>
    <x v="2"/>
    <d v="2014-08-10T00:00:00"/>
    <s v="Shipping Company B"/>
    <s v="Elizabeth Andersen"/>
    <s v="123 8th Street"/>
    <x v="2"/>
    <s v="OR"/>
    <n v="99999"/>
    <s v="USA"/>
    <s v="Check"/>
    <x v="9"/>
    <x v="5"/>
    <n v="40"/>
    <n v="78"/>
    <x v="189"/>
    <n v="318.24"/>
  </r>
  <r>
    <n v="1240"/>
    <x v="86"/>
    <x v="3"/>
    <x v="3"/>
    <s v="123 8th Street"/>
    <x v="2"/>
    <x v="2"/>
    <n v="99999"/>
    <s v="USA"/>
    <x v="2"/>
    <x v="2"/>
    <d v="2014-08-10T00:00:00"/>
    <s v="Shipping Company B"/>
    <s v="Elizabeth Andersen"/>
    <s v="123 8th Street"/>
    <x v="2"/>
    <s v="OR"/>
    <n v="99999"/>
    <s v="USA"/>
    <s v="Check"/>
    <x v="6"/>
    <x v="2"/>
    <n v="9.1999999999999993"/>
    <n v="54"/>
    <x v="190"/>
    <n v="49.183199999999999"/>
  </r>
  <r>
    <n v="1241"/>
    <x v="93"/>
    <x v="13"/>
    <x v="13"/>
    <s v="789 25th Street"/>
    <x v="7"/>
    <x v="7"/>
    <n v="99999"/>
    <s v="USA"/>
    <x v="6"/>
    <x v="1"/>
    <d v="2014-08-27T00:00:00"/>
    <s v="Shipping Company A"/>
    <s v="John Rodman"/>
    <s v="789 25th Street"/>
    <x v="7"/>
    <s v="IL"/>
    <n v="99999"/>
    <s v="USA"/>
    <s v="Cash"/>
    <x v="21"/>
    <x v="2"/>
    <n v="10"/>
    <n v="55"/>
    <x v="62"/>
    <n v="52.25"/>
  </r>
  <r>
    <n v="1242"/>
    <x v="94"/>
    <x v="14"/>
    <x v="14"/>
    <s v="789 26th Street"/>
    <x v="9"/>
    <x v="9"/>
    <n v="99999"/>
    <s v="USA"/>
    <x v="5"/>
    <x v="3"/>
    <d v="2014-08-28T00:00:00"/>
    <s v="Shipping Company C"/>
    <s v="Run Liu"/>
    <s v="789 26th Street"/>
    <x v="9"/>
    <s v="FL"/>
    <n v="99999"/>
    <s v="USA"/>
    <s v="Credit Card"/>
    <x v="22"/>
    <x v="13"/>
    <n v="21.35"/>
    <n v="60"/>
    <x v="191"/>
    <n v="129.381"/>
  </r>
  <r>
    <n v="1243"/>
    <x v="94"/>
    <x v="14"/>
    <x v="14"/>
    <s v="789 26th Street"/>
    <x v="9"/>
    <x v="9"/>
    <n v="99999"/>
    <s v="USA"/>
    <x v="5"/>
    <x v="3"/>
    <d v="2014-08-28T00:00:00"/>
    <s v="Shipping Company C"/>
    <s v="Run Liu"/>
    <s v="789 26th Street"/>
    <x v="9"/>
    <s v="FL"/>
    <n v="99999"/>
    <s v="USA"/>
    <s v="Credit Card"/>
    <x v="8"/>
    <x v="4"/>
    <n v="9.65"/>
    <n v="19"/>
    <x v="192"/>
    <n v="17.41825"/>
  </r>
  <r>
    <n v="1244"/>
    <x v="94"/>
    <x v="14"/>
    <x v="14"/>
    <s v="789 26th Street"/>
    <x v="9"/>
    <x v="9"/>
    <n v="99999"/>
    <s v="USA"/>
    <x v="5"/>
    <x v="3"/>
    <d v="2014-08-28T00:00:00"/>
    <s v="Shipping Company C"/>
    <s v="Run Liu"/>
    <s v="789 26th Street"/>
    <x v="9"/>
    <s v="FL"/>
    <n v="99999"/>
    <s v="USA"/>
    <s v="Credit Card"/>
    <x v="13"/>
    <x v="8"/>
    <n v="18.399999999999999"/>
    <n v="66"/>
    <x v="193"/>
    <n v="125.08320000000001"/>
  </r>
  <r>
    <n v="1245"/>
    <x v="95"/>
    <x v="4"/>
    <x v="4"/>
    <s v="789 29th Street"/>
    <x v="3"/>
    <x v="3"/>
    <n v="99999"/>
    <s v="USA"/>
    <x v="3"/>
    <x v="0"/>
    <d v="2014-08-31T00:00:00"/>
    <s v="Shipping Company B"/>
    <s v="Soo Jung Lee"/>
    <s v="789 29th Street"/>
    <x v="3"/>
    <s v="CO"/>
    <n v="99999"/>
    <s v="USA"/>
    <s v="Check"/>
    <x v="0"/>
    <x v="0"/>
    <n v="14"/>
    <n v="42"/>
    <x v="194"/>
    <n v="59.388000000000005"/>
  </r>
  <r>
    <n v="1246"/>
    <x v="92"/>
    <x v="6"/>
    <x v="6"/>
    <s v="123 6th Street"/>
    <x v="5"/>
    <x v="5"/>
    <n v="99999"/>
    <s v="USA"/>
    <x v="4"/>
    <x v="2"/>
    <n v="41859"/>
    <s v="Shipping Company C"/>
    <s v="Francisco Pérez-Olaeta"/>
    <s v="123 6th Street"/>
    <x v="5"/>
    <s v="WI"/>
    <n v="99999"/>
    <s v="USA"/>
    <s v="Check"/>
    <x v="7"/>
    <x v="3"/>
    <n v="12.75"/>
    <n v="72"/>
    <x v="195"/>
    <n v="89.046000000000006"/>
  </r>
  <r>
    <n v="1248"/>
    <x v="96"/>
    <x v="1"/>
    <x v="1"/>
    <s v="123 4th Street"/>
    <x v="1"/>
    <x v="1"/>
    <n v="99999"/>
    <s v="USA"/>
    <x v="1"/>
    <x v="1"/>
    <n v="41857"/>
    <s v="Shipping Company A"/>
    <s v="Christina Lee"/>
    <s v="123 4th Street"/>
    <x v="1"/>
    <s v="NY"/>
    <n v="99999"/>
    <s v="USA"/>
    <s v="Credit Card"/>
    <x v="23"/>
    <x v="6"/>
    <n v="81"/>
    <n v="32"/>
    <x v="196"/>
    <n v="251.42399999999998"/>
  </r>
  <r>
    <n v="1249"/>
    <x v="96"/>
    <x v="1"/>
    <x v="1"/>
    <s v="123 4th Street"/>
    <x v="1"/>
    <x v="1"/>
    <n v="99999"/>
    <s v="USA"/>
    <x v="1"/>
    <x v="1"/>
    <n v="41857"/>
    <s v="Shipping Company A"/>
    <s v="Christina Lee"/>
    <s v="123 4th Street"/>
    <x v="1"/>
    <s v="NY"/>
    <n v="99999"/>
    <s v="USA"/>
    <s v="Credit Card"/>
    <x v="24"/>
    <x v="14"/>
    <n v="7"/>
    <n v="76"/>
    <x v="197"/>
    <n v="53.732000000000006"/>
  </r>
  <r>
    <n v="1250"/>
    <x v="97"/>
    <x v="8"/>
    <x v="8"/>
    <s v="123 10th Street"/>
    <x v="7"/>
    <x v="7"/>
    <n v="99999"/>
    <s v="USA"/>
    <x v="6"/>
    <x v="1"/>
    <n v="41894"/>
    <s v="Shipping Company A"/>
    <s v="Roland Wacker"/>
    <s v="123 10th Street"/>
    <x v="7"/>
    <s v="IL"/>
    <n v="99999"/>
    <s v="USA"/>
    <m/>
    <x v="6"/>
    <x v="2"/>
    <n v="9.1999999999999993"/>
    <n v="83"/>
    <x v="198"/>
    <n v="74.832799999999992"/>
  </r>
  <r>
    <n v="1251"/>
    <x v="98"/>
    <x v="10"/>
    <x v="10"/>
    <s v="123 11th Street"/>
    <x v="9"/>
    <x v="9"/>
    <n v="99999"/>
    <s v="USA"/>
    <x v="5"/>
    <x v="3"/>
    <m/>
    <s v="Shipping Company C"/>
    <s v="Peter Krschne"/>
    <s v="123 11th Street"/>
    <x v="9"/>
    <s v="FL"/>
    <n v="99999"/>
    <s v="USA"/>
    <m/>
    <x v="1"/>
    <x v="1"/>
    <n v="3.5"/>
    <n v="91"/>
    <x v="199"/>
    <n v="31.213000000000001"/>
  </r>
  <r>
    <n v="1252"/>
    <x v="98"/>
    <x v="10"/>
    <x v="10"/>
    <s v="123 11th Street"/>
    <x v="9"/>
    <x v="9"/>
    <n v="99999"/>
    <s v="USA"/>
    <x v="5"/>
    <x v="3"/>
    <m/>
    <s v="Shipping Company C"/>
    <s v="Peter Krschne"/>
    <s v="123 11th Street"/>
    <x v="9"/>
    <s v="FL"/>
    <n v="99999"/>
    <s v="USA"/>
    <m/>
    <x v="10"/>
    <x v="0"/>
    <n v="2.99"/>
    <n v="64"/>
    <x v="200"/>
    <n v="19.518720000000002"/>
  </r>
  <r>
    <n v="1253"/>
    <x v="99"/>
    <x v="11"/>
    <x v="11"/>
    <s v="123 1st Street"/>
    <x v="10"/>
    <x v="10"/>
    <n v="99999"/>
    <s v="USA"/>
    <x v="2"/>
    <x v="2"/>
    <m/>
    <m/>
    <s v="Anna Bedecs"/>
    <s v="123 1st Street"/>
    <x v="10"/>
    <s v="WA"/>
    <n v="99999"/>
    <s v="USA"/>
    <m/>
    <x v="4"/>
    <x v="0"/>
    <n v="18"/>
    <n v="58"/>
    <x v="137"/>
    <n v="103.35600000000001"/>
  </r>
  <r>
    <n v="1254"/>
    <x v="99"/>
    <x v="11"/>
    <x v="11"/>
    <s v="123 1st Street"/>
    <x v="10"/>
    <x v="10"/>
    <n v="99999"/>
    <s v="USA"/>
    <x v="2"/>
    <x v="2"/>
    <m/>
    <m/>
    <s v="Anna Bedecs"/>
    <s v="123 1st Street"/>
    <x v="10"/>
    <s v="WA"/>
    <n v="99999"/>
    <s v="USA"/>
    <m/>
    <x v="5"/>
    <x v="0"/>
    <n v="46"/>
    <n v="97"/>
    <x v="201"/>
    <n v="464.04800000000006"/>
  </r>
  <r>
    <n v="1255"/>
    <x v="99"/>
    <x v="11"/>
    <x v="11"/>
    <s v="123 1st Street"/>
    <x v="10"/>
    <x v="10"/>
    <n v="99999"/>
    <s v="USA"/>
    <x v="2"/>
    <x v="2"/>
    <m/>
    <m/>
    <s v="Anna Bedecs"/>
    <s v="123 1st Street"/>
    <x v="10"/>
    <s v="WA"/>
    <n v="99999"/>
    <s v="USA"/>
    <m/>
    <x v="10"/>
    <x v="0"/>
    <n v="2.99"/>
    <n v="14"/>
    <x v="202"/>
    <n v="4.35344"/>
  </r>
  <r>
    <n v="1256"/>
    <x v="100"/>
    <x v="7"/>
    <x v="7"/>
    <s v="789 28th Street"/>
    <x v="6"/>
    <x v="6"/>
    <n v="99999"/>
    <s v="USA"/>
    <x v="5"/>
    <x v="3"/>
    <d v="2014-09-30T00:00:00"/>
    <s v="Shipping Company C"/>
    <s v="Amritansh Raghav"/>
    <s v="789 28th Street"/>
    <x v="6"/>
    <s v="TN"/>
    <n v="99999"/>
    <s v="USA"/>
    <s v="Credit Card"/>
    <x v="8"/>
    <x v="4"/>
    <n v="9.65"/>
    <n v="68"/>
    <x v="203"/>
    <n v="64.307600000000008"/>
  </r>
  <r>
    <n v="1257"/>
    <x v="100"/>
    <x v="7"/>
    <x v="7"/>
    <s v="789 28th Street"/>
    <x v="6"/>
    <x v="6"/>
    <n v="99999"/>
    <s v="USA"/>
    <x v="5"/>
    <x v="3"/>
    <n v="41912"/>
    <s v="Shipping Company C"/>
    <s v="Amritansh Raghav"/>
    <s v="789 28th Street"/>
    <x v="6"/>
    <s v="TN"/>
    <n v="99999"/>
    <s v="USA"/>
    <s v="Credit Card"/>
    <x v="13"/>
    <x v="8"/>
    <n v="18.399999999999999"/>
    <n v="32"/>
    <x v="204"/>
    <n v="58.879999999999995"/>
  </r>
  <r>
    <n v="1258"/>
    <x v="101"/>
    <x v="12"/>
    <x v="12"/>
    <s v="123 9th Street"/>
    <x v="11"/>
    <x v="11"/>
    <n v="99999"/>
    <s v="USA"/>
    <x v="7"/>
    <x v="0"/>
    <d v="2014-09-11T00:00:00"/>
    <s v="Shipping Company A"/>
    <s v="Sven Mortensen"/>
    <s v="123 9th Street"/>
    <x v="11"/>
    <s v="UT"/>
    <n v="99999"/>
    <s v="USA"/>
    <s v="Check"/>
    <x v="14"/>
    <x v="9"/>
    <n v="19.5"/>
    <n v="48"/>
    <x v="205"/>
    <n v="94.536000000000016"/>
  </r>
  <r>
    <n v="1259"/>
    <x v="101"/>
    <x v="12"/>
    <x v="12"/>
    <s v="123 9th Street"/>
    <x v="11"/>
    <x v="11"/>
    <n v="99999"/>
    <s v="USA"/>
    <x v="7"/>
    <x v="0"/>
    <d v="2014-09-11T00:00:00"/>
    <s v="Shipping Company A"/>
    <s v="Sven Mortensen"/>
    <s v="123 9th Street"/>
    <x v="11"/>
    <s v="UT"/>
    <n v="99999"/>
    <s v="USA"/>
    <s v="Check"/>
    <x v="15"/>
    <x v="10"/>
    <n v="34.799999999999997"/>
    <n v="57"/>
    <x v="206"/>
    <n v="194.39280000000002"/>
  </r>
  <r>
    <n v="1260"/>
    <x v="102"/>
    <x v="6"/>
    <x v="6"/>
    <s v="123 6th Street"/>
    <x v="5"/>
    <x v="5"/>
    <n v="99999"/>
    <s v="USA"/>
    <x v="4"/>
    <x v="2"/>
    <d v="2014-09-08T00:00:00"/>
    <s v="Shipping Company B"/>
    <s v="Francisco Pérez-Olaeta"/>
    <s v="123 6th Street"/>
    <x v="5"/>
    <s v="WI"/>
    <n v="99999"/>
    <s v="USA"/>
    <s v="Credit Card"/>
    <x v="0"/>
    <x v="0"/>
    <n v="14"/>
    <n v="67"/>
    <x v="207"/>
    <n v="98.490000000000009"/>
  </r>
  <r>
    <n v="1261"/>
    <x v="103"/>
    <x v="3"/>
    <x v="3"/>
    <s v="123 8th Street"/>
    <x v="2"/>
    <x v="2"/>
    <n v="99999"/>
    <s v="USA"/>
    <x v="2"/>
    <x v="2"/>
    <n v="41892"/>
    <s v="Shipping Company B"/>
    <s v="Elizabeth Andersen"/>
    <s v="123 8th Street"/>
    <x v="2"/>
    <s v="OR"/>
    <n v="99999"/>
    <s v="USA"/>
    <s v="Check"/>
    <x v="9"/>
    <x v="5"/>
    <n v="40"/>
    <n v="48"/>
    <x v="208"/>
    <n v="188.16"/>
  </r>
  <r>
    <n v="1262"/>
    <x v="103"/>
    <x v="3"/>
    <x v="3"/>
    <s v="123 8th Street"/>
    <x v="2"/>
    <x v="2"/>
    <n v="99999"/>
    <s v="USA"/>
    <x v="2"/>
    <x v="2"/>
    <n v="41892"/>
    <s v="Shipping Company B"/>
    <s v="Elizabeth Andersen"/>
    <s v="123 8th Street"/>
    <x v="2"/>
    <s v="OR"/>
    <n v="99999"/>
    <s v="USA"/>
    <s v="Check"/>
    <x v="6"/>
    <x v="2"/>
    <n v="9.1999999999999993"/>
    <n v="77"/>
    <x v="209"/>
    <n v="72.256799999999998"/>
  </r>
  <r>
    <n v="1263"/>
    <x v="104"/>
    <x v="13"/>
    <x v="13"/>
    <s v="789 25th Street"/>
    <x v="7"/>
    <x v="7"/>
    <n v="99999"/>
    <s v="USA"/>
    <x v="6"/>
    <x v="1"/>
    <n v="41909"/>
    <s v="Shipping Company A"/>
    <s v="John Rodman"/>
    <s v="789 25th Street"/>
    <x v="7"/>
    <s v="IL"/>
    <n v="99999"/>
    <s v="USA"/>
    <s v="Cash"/>
    <x v="21"/>
    <x v="2"/>
    <n v="10"/>
    <n v="94"/>
    <x v="210"/>
    <n v="97.76"/>
  </r>
  <r>
    <n v="1264"/>
    <x v="105"/>
    <x v="14"/>
    <x v="14"/>
    <s v="789 26th Street"/>
    <x v="9"/>
    <x v="9"/>
    <n v="99999"/>
    <s v="USA"/>
    <x v="5"/>
    <x v="3"/>
    <n v="41910"/>
    <s v="Shipping Company C"/>
    <s v="Run Liu"/>
    <s v="789 26th Street"/>
    <x v="9"/>
    <s v="FL"/>
    <n v="99999"/>
    <s v="USA"/>
    <s v="Credit Card"/>
    <x v="22"/>
    <x v="13"/>
    <n v="21.35"/>
    <n v="54"/>
    <x v="211"/>
    <n v="121.05450000000003"/>
  </r>
  <r>
    <n v="1265"/>
    <x v="105"/>
    <x v="14"/>
    <x v="14"/>
    <s v="789 26th Street"/>
    <x v="9"/>
    <x v="9"/>
    <n v="99999"/>
    <s v="USA"/>
    <x v="5"/>
    <x v="3"/>
    <n v="41910"/>
    <s v="Shipping Company C"/>
    <s v="Run Liu"/>
    <s v="789 26th Street"/>
    <x v="9"/>
    <s v="FL"/>
    <n v="99999"/>
    <s v="USA"/>
    <s v="Credit Card"/>
    <x v="8"/>
    <x v="4"/>
    <n v="9.65"/>
    <n v="43"/>
    <x v="84"/>
    <n v="40.250150000000005"/>
  </r>
  <r>
    <n v="1266"/>
    <x v="105"/>
    <x v="14"/>
    <x v="14"/>
    <s v="789 26th Street"/>
    <x v="9"/>
    <x v="9"/>
    <n v="99999"/>
    <s v="USA"/>
    <x v="5"/>
    <x v="3"/>
    <d v="2014-09-28T00:00:00"/>
    <s v="Shipping Company C"/>
    <s v="Run Liu"/>
    <s v="789 26th Street"/>
    <x v="9"/>
    <s v="FL"/>
    <n v="99999"/>
    <s v="USA"/>
    <s v="Credit Card"/>
    <x v="13"/>
    <x v="8"/>
    <n v="18.399999999999999"/>
    <n v="71"/>
    <x v="143"/>
    <n v="134.55919999999998"/>
  </r>
  <r>
    <n v="1267"/>
    <x v="106"/>
    <x v="4"/>
    <x v="4"/>
    <s v="789 29th Street"/>
    <x v="3"/>
    <x v="3"/>
    <n v="99999"/>
    <s v="USA"/>
    <x v="3"/>
    <x v="0"/>
    <d v="2014-10-01T00:00:00"/>
    <s v="Shipping Company B"/>
    <s v="Soo Jung Lee"/>
    <s v="789 29th Street"/>
    <x v="3"/>
    <s v="CO"/>
    <n v="99999"/>
    <s v="USA"/>
    <s v="Check"/>
    <x v="0"/>
    <x v="0"/>
    <n v="14"/>
    <n v="50"/>
    <x v="212"/>
    <n v="67.2"/>
  </r>
  <r>
    <n v="1268"/>
    <x v="102"/>
    <x v="6"/>
    <x v="6"/>
    <s v="123 6th Street"/>
    <x v="5"/>
    <x v="5"/>
    <n v="99999"/>
    <s v="USA"/>
    <x v="4"/>
    <x v="2"/>
    <d v="2014-09-08T00:00:00"/>
    <s v="Shipping Company C"/>
    <s v="Francisco Pérez-Olaeta"/>
    <s v="123 6th Street"/>
    <x v="5"/>
    <s v="WI"/>
    <n v="99999"/>
    <s v="USA"/>
    <s v="Check"/>
    <x v="7"/>
    <x v="3"/>
    <n v="12.75"/>
    <n v="96"/>
    <x v="146"/>
    <n v="119.952"/>
  </r>
  <r>
    <n v="1270"/>
    <x v="107"/>
    <x v="1"/>
    <x v="1"/>
    <s v="123 4th Street"/>
    <x v="1"/>
    <x v="1"/>
    <n v="99999"/>
    <s v="USA"/>
    <x v="1"/>
    <x v="1"/>
    <d v="2014-09-06T00:00:00"/>
    <s v="Shipping Company A"/>
    <s v="Christina Lee"/>
    <s v="123 4th Street"/>
    <x v="1"/>
    <s v="NY"/>
    <n v="99999"/>
    <s v="USA"/>
    <s v="Credit Card"/>
    <x v="23"/>
    <x v="6"/>
    <n v="81"/>
    <n v="54"/>
    <x v="213"/>
    <n v="437.40000000000003"/>
  </r>
  <r>
    <n v="1271"/>
    <x v="107"/>
    <x v="1"/>
    <x v="1"/>
    <s v="123 4th Street"/>
    <x v="1"/>
    <x v="1"/>
    <n v="99999"/>
    <s v="USA"/>
    <x v="1"/>
    <x v="1"/>
    <d v="2014-09-06T00:00:00"/>
    <s v="Shipping Company A"/>
    <s v="Christina Lee"/>
    <s v="123 4th Street"/>
    <x v="1"/>
    <s v="NY"/>
    <n v="99999"/>
    <s v="USA"/>
    <s v="Credit Card"/>
    <x v="24"/>
    <x v="14"/>
    <n v="7"/>
    <n v="39"/>
    <x v="214"/>
    <n v="27.3"/>
  </r>
  <r>
    <n v="1273"/>
    <x v="103"/>
    <x v="3"/>
    <x v="3"/>
    <s v="123 8th Street"/>
    <x v="2"/>
    <x v="2"/>
    <n v="99999"/>
    <s v="USA"/>
    <x v="2"/>
    <x v="2"/>
    <d v="2014-09-10T00:00:00"/>
    <s v="Shipping Company C"/>
    <s v="Elizabeth Andersen"/>
    <s v="123 8th Street"/>
    <x v="2"/>
    <s v="OR"/>
    <n v="99999"/>
    <s v="USA"/>
    <s v="Credit Card"/>
    <x v="15"/>
    <x v="10"/>
    <n v="34.799999999999997"/>
    <n v="63"/>
    <x v="59"/>
    <n v="230.202"/>
  </r>
  <r>
    <n v="1276"/>
    <x v="108"/>
    <x v="5"/>
    <x v="5"/>
    <s v="123 3rd Street"/>
    <x v="4"/>
    <x v="4"/>
    <n v="99999"/>
    <s v="USA"/>
    <x v="0"/>
    <x v="0"/>
    <d v="2014-09-05T00:00:00"/>
    <s v="Shipping Company B"/>
    <s v="Thomas Axerr"/>
    <s v="123 3rd Street"/>
    <x v="4"/>
    <s v="CA"/>
    <n v="99999"/>
    <s v="USA"/>
    <s v="Cash"/>
    <x v="16"/>
    <x v="7"/>
    <n v="10"/>
    <n v="71"/>
    <x v="215"/>
    <n v="73.13"/>
  </r>
  <r>
    <n v="1277"/>
    <x v="108"/>
    <x v="5"/>
    <x v="5"/>
    <s v="123 3rd Street"/>
    <x v="4"/>
    <x v="4"/>
    <n v="99999"/>
    <s v="USA"/>
    <x v="0"/>
    <x v="0"/>
    <d v="2014-09-05T00:00:00"/>
    <s v="Shipping Company B"/>
    <s v="Thomas Axerr"/>
    <s v="123 3rd Street"/>
    <x v="4"/>
    <s v="CA"/>
    <n v="99999"/>
    <s v="USA"/>
    <s v="Cash"/>
    <x v="9"/>
    <x v="5"/>
    <n v="40"/>
    <n v="88"/>
    <x v="216"/>
    <n v="366.08000000000004"/>
  </r>
  <r>
    <n v="1281"/>
    <x v="97"/>
    <x v="8"/>
    <x v="8"/>
    <s v="123 10th Street"/>
    <x v="7"/>
    <x v="7"/>
    <n v="99999"/>
    <s v="USA"/>
    <x v="6"/>
    <x v="1"/>
    <d v="2014-09-12T00:00:00"/>
    <s v="Shipping Company B"/>
    <s v="Roland Wacker"/>
    <s v="123 10th Street"/>
    <x v="7"/>
    <s v="IL"/>
    <n v="99999"/>
    <s v="USA"/>
    <s v="Credit Card"/>
    <x v="18"/>
    <x v="1"/>
    <n v="10"/>
    <n v="59"/>
    <x v="217"/>
    <n v="59.59"/>
  </r>
  <r>
    <n v="1282"/>
    <x v="109"/>
    <x v="6"/>
    <x v="6"/>
    <s v="123 6th Street"/>
    <x v="5"/>
    <x v="5"/>
    <n v="99999"/>
    <s v="USA"/>
    <x v="4"/>
    <x v="2"/>
    <d v="2014-10-08T00:00:00"/>
    <s v="Shipping Company B"/>
    <s v="Francisco Pérez-Olaeta"/>
    <s v="123 6th Street"/>
    <x v="5"/>
    <s v="WI"/>
    <n v="99999"/>
    <s v="USA"/>
    <s v="Credit Card"/>
    <x v="9"/>
    <x v="5"/>
    <n v="40"/>
    <n v="94"/>
    <x v="218"/>
    <n v="376"/>
  </r>
  <r>
    <n v="1283"/>
    <x v="110"/>
    <x v="7"/>
    <x v="7"/>
    <s v="789 28th Street"/>
    <x v="6"/>
    <x v="6"/>
    <n v="99999"/>
    <s v="USA"/>
    <x v="5"/>
    <x v="3"/>
    <d v="2014-10-30T00:00:00"/>
    <s v="Shipping Company C"/>
    <s v="Amritansh Raghav"/>
    <s v="789 28th Street"/>
    <x v="6"/>
    <s v="TN"/>
    <n v="99999"/>
    <s v="USA"/>
    <s v="Check"/>
    <x v="5"/>
    <x v="0"/>
    <n v="46"/>
    <n v="86"/>
    <x v="177"/>
    <n v="379.77600000000001"/>
  </r>
  <r>
    <n v="1284"/>
    <x v="111"/>
    <x v="3"/>
    <x v="3"/>
    <s v="123 8th Street"/>
    <x v="2"/>
    <x v="2"/>
    <n v="99999"/>
    <s v="USA"/>
    <x v="2"/>
    <x v="2"/>
    <d v="2014-10-10T00:00:00"/>
    <s v="Shipping Company C"/>
    <s v="Elizabeth Andersen"/>
    <s v="123 8th Street"/>
    <x v="2"/>
    <s v="OR"/>
    <n v="99999"/>
    <s v="USA"/>
    <s v="Check"/>
    <x v="7"/>
    <x v="3"/>
    <n v="12.75"/>
    <n v="61"/>
    <x v="219"/>
    <n v="78.552750000000003"/>
  </r>
  <r>
    <n v="1285"/>
    <x v="112"/>
    <x v="8"/>
    <x v="8"/>
    <s v="123 10th Street"/>
    <x v="7"/>
    <x v="7"/>
    <n v="99999"/>
    <s v="USA"/>
    <x v="6"/>
    <x v="1"/>
    <d v="2014-10-12T00:00:00"/>
    <s v="Shipping Company B"/>
    <s v="Roland Wacker"/>
    <s v="123 10th Street"/>
    <x v="7"/>
    <s v="IL"/>
    <n v="99999"/>
    <s v="USA"/>
    <s v="Credit Card"/>
    <x v="10"/>
    <x v="0"/>
    <n v="2.99"/>
    <n v="32"/>
    <x v="220"/>
    <n v="9.7593600000000009"/>
  </r>
  <r>
    <n v="1286"/>
    <x v="113"/>
    <x v="9"/>
    <x v="9"/>
    <s v="123 7th Street"/>
    <x v="8"/>
    <x v="8"/>
    <n v="99999"/>
    <s v="USA"/>
    <x v="2"/>
    <x v="2"/>
    <m/>
    <m/>
    <s v="Ming-Yang Xie"/>
    <s v="123 7th Street"/>
    <x v="8"/>
    <s v="ID"/>
    <n v="99999"/>
    <s v="USA"/>
    <m/>
    <x v="5"/>
    <x v="0"/>
    <n v="46"/>
    <n v="62"/>
    <x v="221"/>
    <n v="290.904"/>
  </r>
  <r>
    <n v="1287"/>
    <x v="112"/>
    <x v="8"/>
    <x v="8"/>
    <s v="123 10th Street"/>
    <x v="7"/>
    <x v="7"/>
    <n v="99999"/>
    <s v="USA"/>
    <x v="6"/>
    <x v="1"/>
    <d v="2014-10-12T00:00:00"/>
    <s v="Shipping Company A"/>
    <s v="Roland Wacker"/>
    <s v="123 10th Street"/>
    <x v="7"/>
    <s v="IL"/>
    <n v="99999"/>
    <s v="USA"/>
    <m/>
    <x v="11"/>
    <x v="6"/>
    <n v="25"/>
    <n v="60"/>
    <x v="222"/>
    <n v="154.5"/>
  </r>
  <r>
    <n v="1288"/>
    <x v="112"/>
    <x v="8"/>
    <x v="8"/>
    <s v="123 10th Street"/>
    <x v="7"/>
    <x v="7"/>
    <n v="99999"/>
    <s v="USA"/>
    <x v="6"/>
    <x v="1"/>
    <d v="2014-10-12T00:00:00"/>
    <s v="Shipping Company A"/>
    <s v="Roland Wacker"/>
    <s v="123 10th Street"/>
    <x v="7"/>
    <s v="IL"/>
    <n v="99999"/>
    <s v="USA"/>
    <m/>
    <x v="12"/>
    <x v="7"/>
    <n v="22"/>
    <n v="51"/>
    <x v="223"/>
    <n v="109.956"/>
  </r>
  <r>
    <n v="1289"/>
    <x v="112"/>
    <x v="8"/>
    <x v="8"/>
    <s v="123 10th Street"/>
    <x v="7"/>
    <x v="7"/>
    <n v="99999"/>
    <s v="USA"/>
    <x v="6"/>
    <x v="1"/>
    <d v="2014-10-12T00:00:00"/>
    <s v="Shipping Company A"/>
    <s v="Roland Wacker"/>
    <s v="123 10th Street"/>
    <x v="7"/>
    <s v="IL"/>
    <n v="99999"/>
    <s v="USA"/>
    <m/>
    <x v="6"/>
    <x v="2"/>
    <n v="9.1999999999999993"/>
    <n v="49"/>
    <x v="224"/>
    <n v="44.629199999999997"/>
  </r>
  <r>
    <n v="1290"/>
    <x v="114"/>
    <x v="10"/>
    <x v="10"/>
    <s v="123 11th Street"/>
    <x v="9"/>
    <x v="9"/>
    <n v="99999"/>
    <s v="USA"/>
    <x v="5"/>
    <x v="3"/>
    <m/>
    <s v="Shipping Company C"/>
    <s v="Peter Krschne"/>
    <s v="123 11th Street"/>
    <x v="9"/>
    <s v="FL"/>
    <n v="99999"/>
    <s v="USA"/>
    <m/>
    <x v="1"/>
    <x v="1"/>
    <n v="3.5"/>
    <n v="20"/>
    <x v="225"/>
    <n v="6.93"/>
  </r>
  <r>
    <n v="1291"/>
    <x v="114"/>
    <x v="10"/>
    <x v="10"/>
    <s v="123 11th Street"/>
    <x v="9"/>
    <x v="9"/>
    <n v="99999"/>
    <s v="USA"/>
    <x v="5"/>
    <x v="3"/>
    <m/>
    <s v="Shipping Company C"/>
    <s v="Peter Krschne"/>
    <s v="123 11th Street"/>
    <x v="9"/>
    <s v="FL"/>
    <n v="99999"/>
    <s v="USA"/>
    <m/>
    <x v="10"/>
    <x v="0"/>
    <n v="2.99"/>
    <n v="49"/>
    <x v="20"/>
    <n v="14.651000000000003"/>
  </r>
  <r>
    <n v="1292"/>
    <x v="115"/>
    <x v="11"/>
    <x v="11"/>
    <s v="123 1st Street"/>
    <x v="10"/>
    <x v="10"/>
    <n v="99999"/>
    <s v="USA"/>
    <x v="2"/>
    <x v="2"/>
    <m/>
    <m/>
    <s v="Anna Bedecs"/>
    <s v="123 1st Street"/>
    <x v="10"/>
    <s v="WA"/>
    <n v="99999"/>
    <s v="USA"/>
    <m/>
    <x v="4"/>
    <x v="0"/>
    <n v="18"/>
    <n v="22"/>
    <x v="226"/>
    <n v="38.015999999999998"/>
  </r>
  <r>
    <n v="1293"/>
    <x v="115"/>
    <x v="11"/>
    <x v="11"/>
    <s v="123 1st Street"/>
    <x v="10"/>
    <x v="10"/>
    <n v="99999"/>
    <s v="USA"/>
    <x v="2"/>
    <x v="2"/>
    <m/>
    <m/>
    <s v="Anna Bedecs"/>
    <s v="123 1st Street"/>
    <x v="10"/>
    <s v="WA"/>
    <n v="99999"/>
    <s v="USA"/>
    <m/>
    <x v="5"/>
    <x v="0"/>
    <n v="46"/>
    <n v="73"/>
    <x v="227"/>
    <n v="339.15800000000002"/>
  </r>
  <r>
    <n v="1294"/>
    <x v="115"/>
    <x v="11"/>
    <x v="11"/>
    <s v="123 1st Street"/>
    <x v="10"/>
    <x v="10"/>
    <n v="99999"/>
    <s v="USA"/>
    <x v="2"/>
    <x v="2"/>
    <m/>
    <m/>
    <s v="Anna Bedecs"/>
    <s v="123 1st Street"/>
    <x v="10"/>
    <s v="WA"/>
    <n v="99999"/>
    <s v="USA"/>
    <m/>
    <x v="10"/>
    <x v="0"/>
    <n v="2.99"/>
    <n v="85"/>
    <x v="228"/>
    <n v="24.652550000000002"/>
  </r>
  <r>
    <n v="1295"/>
    <x v="110"/>
    <x v="7"/>
    <x v="7"/>
    <s v="789 28th Street"/>
    <x v="6"/>
    <x v="6"/>
    <n v="99999"/>
    <s v="USA"/>
    <x v="5"/>
    <x v="3"/>
    <d v="2014-10-30T00:00:00"/>
    <s v="Shipping Company C"/>
    <s v="Amritansh Raghav"/>
    <s v="789 28th Street"/>
    <x v="6"/>
    <s v="TN"/>
    <n v="99999"/>
    <s v="USA"/>
    <s v="Credit Card"/>
    <x v="8"/>
    <x v="4"/>
    <n v="9.65"/>
    <n v="44"/>
    <x v="229"/>
    <n v="44.158400000000007"/>
  </r>
  <r>
    <n v="1296"/>
    <x v="110"/>
    <x v="7"/>
    <x v="7"/>
    <s v="789 28th Street"/>
    <x v="6"/>
    <x v="6"/>
    <n v="99999"/>
    <s v="USA"/>
    <x v="5"/>
    <x v="3"/>
    <d v="2014-10-30T00:00:00"/>
    <s v="Shipping Company C"/>
    <s v="Amritansh Raghav"/>
    <s v="789 28th Street"/>
    <x v="6"/>
    <s v="TN"/>
    <n v="99999"/>
    <s v="USA"/>
    <s v="Credit Card"/>
    <x v="13"/>
    <x v="8"/>
    <n v="18.399999999999999"/>
    <n v="24"/>
    <x v="230"/>
    <n v="42.835199999999993"/>
  </r>
  <r>
    <n v="1297"/>
    <x v="116"/>
    <x v="12"/>
    <x v="12"/>
    <s v="123 9th Street"/>
    <x v="11"/>
    <x v="11"/>
    <n v="99999"/>
    <s v="USA"/>
    <x v="7"/>
    <x v="0"/>
    <d v="2014-10-11T00:00:00"/>
    <s v="Shipping Company A"/>
    <s v="Sven Mortensen"/>
    <s v="123 9th Street"/>
    <x v="11"/>
    <s v="UT"/>
    <n v="99999"/>
    <s v="USA"/>
    <s v="Check"/>
    <x v="14"/>
    <x v="9"/>
    <n v="19.5"/>
    <n v="64"/>
    <x v="231"/>
    <n v="119.80800000000001"/>
  </r>
  <r>
    <n v="1298"/>
    <x v="116"/>
    <x v="12"/>
    <x v="12"/>
    <s v="123 9th Street"/>
    <x v="11"/>
    <x v="11"/>
    <n v="99999"/>
    <s v="USA"/>
    <x v="7"/>
    <x v="0"/>
    <d v="2014-10-11T00:00:00"/>
    <s v="Shipping Company A"/>
    <s v="Sven Mortensen"/>
    <s v="123 9th Street"/>
    <x v="11"/>
    <s v="UT"/>
    <n v="99999"/>
    <s v="USA"/>
    <s v="Check"/>
    <x v="15"/>
    <x v="10"/>
    <n v="34.799999999999997"/>
    <n v="70"/>
    <x v="232"/>
    <n v="246.03600000000003"/>
  </r>
  <r>
    <n v="1299"/>
    <x v="109"/>
    <x v="6"/>
    <x v="6"/>
    <s v="123 6th Street"/>
    <x v="5"/>
    <x v="5"/>
    <n v="99999"/>
    <s v="USA"/>
    <x v="4"/>
    <x v="2"/>
    <d v="2014-10-08T00:00:00"/>
    <s v="Shipping Company B"/>
    <s v="Francisco Pérez-Olaeta"/>
    <s v="123 6th Street"/>
    <x v="5"/>
    <s v="WI"/>
    <n v="99999"/>
    <s v="USA"/>
    <s v="Credit Card"/>
    <x v="0"/>
    <x v="0"/>
    <n v="14"/>
    <n v="98"/>
    <x v="233"/>
    <n v="138.57200000000003"/>
  </r>
  <r>
    <n v="1300"/>
    <x v="111"/>
    <x v="3"/>
    <x v="3"/>
    <s v="123 8th Street"/>
    <x v="2"/>
    <x v="2"/>
    <n v="99999"/>
    <s v="USA"/>
    <x v="2"/>
    <x v="2"/>
    <d v="2014-10-10T00:00:00"/>
    <s v="Shipping Company B"/>
    <s v="Elizabeth Andersen"/>
    <s v="123 8th Street"/>
    <x v="2"/>
    <s v="OR"/>
    <n v="99999"/>
    <s v="USA"/>
    <s v="Check"/>
    <x v="9"/>
    <x v="5"/>
    <n v="40"/>
    <n v="48"/>
    <x v="208"/>
    <n v="188.16"/>
  </r>
  <r>
    <n v="1301"/>
    <x v="111"/>
    <x v="3"/>
    <x v="3"/>
    <s v="123 8th Street"/>
    <x v="2"/>
    <x v="2"/>
    <n v="99999"/>
    <s v="USA"/>
    <x v="2"/>
    <x v="2"/>
    <d v="2014-10-10T00:00:00"/>
    <s v="Shipping Company B"/>
    <s v="Elizabeth Andersen"/>
    <s v="123 8th Street"/>
    <x v="2"/>
    <s v="OR"/>
    <n v="99999"/>
    <s v="USA"/>
    <s v="Check"/>
    <x v="6"/>
    <x v="2"/>
    <n v="9.1999999999999993"/>
    <n v="100"/>
    <x v="234"/>
    <n v="91.08"/>
  </r>
  <r>
    <n v="1302"/>
    <x v="117"/>
    <x v="13"/>
    <x v="13"/>
    <s v="789 25th Street"/>
    <x v="7"/>
    <x v="7"/>
    <n v="99999"/>
    <s v="USA"/>
    <x v="6"/>
    <x v="1"/>
    <d v="2014-10-27T00:00:00"/>
    <s v="Shipping Company A"/>
    <s v="John Rodman"/>
    <s v="789 25th Street"/>
    <x v="7"/>
    <s v="IL"/>
    <n v="99999"/>
    <s v="USA"/>
    <s v="Cash"/>
    <x v="21"/>
    <x v="2"/>
    <n v="10"/>
    <n v="90"/>
    <x v="235"/>
    <n v="87.3"/>
  </r>
  <r>
    <n v="1303"/>
    <x v="118"/>
    <x v="14"/>
    <x v="14"/>
    <s v="789 26th Street"/>
    <x v="9"/>
    <x v="9"/>
    <n v="99999"/>
    <s v="USA"/>
    <x v="5"/>
    <x v="3"/>
    <d v="2014-10-28T00:00:00"/>
    <s v="Shipping Company C"/>
    <s v="Run Liu"/>
    <s v="789 26th Street"/>
    <x v="9"/>
    <s v="FL"/>
    <n v="99999"/>
    <s v="USA"/>
    <s v="Credit Card"/>
    <x v="22"/>
    <x v="13"/>
    <n v="21.35"/>
    <n v="49"/>
    <x v="236"/>
    <n v="102.5227"/>
  </r>
  <r>
    <n v="1304"/>
    <x v="118"/>
    <x v="14"/>
    <x v="14"/>
    <s v="789 26th Street"/>
    <x v="9"/>
    <x v="9"/>
    <n v="99999"/>
    <s v="USA"/>
    <x v="5"/>
    <x v="3"/>
    <d v="2014-10-28T00:00:00"/>
    <s v="Shipping Company C"/>
    <s v="Run Liu"/>
    <s v="789 26th Street"/>
    <x v="9"/>
    <s v="FL"/>
    <n v="99999"/>
    <s v="USA"/>
    <s v="Credit Card"/>
    <x v="8"/>
    <x v="4"/>
    <n v="9.65"/>
    <n v="71"/>
    <x v="237"/>
    <n v="65.7744"/>
  </r>
  <r>
    <n v="1305"/>
    <x v="118"/>
    <x v="14"/>
    <x v="14"/>
    <s v="789 26th Street"/>
    <x v="9"/>
    <x v="9"/>
    <n v="99999"/>
    <s v="USA"/>
    <x v="5"/>
    <x v="3"/>
    <d v="2014-10-28T00:00:00"/>
    <s v="Shipping Company C"/>
    <s v="Run Liu"/>
    <s v="789 26th Street"/>
    <x v="9"/>
    <s v="FL"/>
    <n v="99999"/>
    <s v="USA"/>
    <s v="Credit Card"/>
    <x v="13"/>
    <x v="8"/>
    <n v="18.399999999999999"/>
    <n v="10"/>
    <x v="238"/>
    <n v="19.136000000000003"/>
  </r>
  <r>
    <n v="1306"/>
    <x v="119"/>
    <x v="4"/>
    <x v="4"/>
    <s v="789 29th Street"/>
    <x v="3"/>
    <x v="3"/>
    <n v="99999"/>
    <s v="USA"/>
    <x v="3"/>
    <x v="0"/>
    <d v="2014-10-31T00:00:00"/>
    <s v="Shipping Company B"/>
    <s v="Soo Jung Lee"/>
    <s v="789 29th Street"/>
    <x v="3"/>
    <s v="CO"/>
    <n v="99999"/>
    <s v="USA"/>
    <s v="Check"/>
    <x v="0"/>
    <x v="0"/>
    <n v="14"/>
    <n v="78"/>
    <x v="239"/>
    <n v="112.476"/>
  </r>
  <r>
    <n v="1307"/>
    <x v="109"/>
    <x v="6"/>
    <x v="6"/>
    <s v="123 6th Street"/>
    <x v="5"/>
    <x v="5"/>
    <n v="99999"/>
    <s v="USA"/>
    <x v="4"/>
    <x v="2"/>
    <d v="2014-10-08T00:00:00"/>
    <s v="Shipping Company C"/>
    <s v="Francisco Pérez-Olaeta"/>
    <s v="123 6th Street"/>
    <x v="5"/>
    <s v="WI"/>
    <n v="99999"/>
    <s v="USA"/>
    <s v="Check"/>
    <x v="7"/>
    <x v="3"/>
    <n v="12.75"/>
    <n v="44"/>
    <x v="134"/>
    <n v="53.856000000000002"/>
  </r>
  <r>
    <n v="1309"/>
    <x v="120"/>
    <x v="1"/>
    <x v="1"/>
    <s v="123 4th Street"/>
    <x v="1"/>
    <x v="1"/>
    <n v="99999"/>
    <s v="USA"/>
    <x v="1"/>
    <x v="1"/>
    <d v="2014-10-06T00:00:00"/>
    <s v="Shipping Company A"/>
    <s v="Christina Lee"/>
    <s v="123 4th Street"/>
    <x v="1"/>
    <s v="NY"/>
    <n v="99999"/>
    <s v="USA"/>
    <s v="Credit Card"/>
    <x v="23"/>
    <x v="6"/>
    <n v="81"/>
    <n v="82"/>
    <x v="240"/>
    <n v="697.41000000000008"/>
  </r>
  <r>
    <n v="1310"/>
    <x v="120"/>
    <x v="1"/>
    <x v="1"/>
    <s v="123 4th Street"/>
    <x v="1"/>
    <x v="1"/>
    <n v="99999"/>
    <s v="USA"/>
    <x v="1"/>
    <x v="1"/>
    <d v="2014-10-06T00:00:00"/>
    <s v="Shipping Company A"/>
    <s v="Christina Lee"/>
    <s v="123 4th Street"/>
    <x v="1"/>
    <s v="NY"/>
    <n v="99999"/>
    <s v="USA"/>
    <s v="Credit Card"/>
    <x v="24"/>
    <x v="14"/>
    <n v="7"/>
    <n v="29"/>
    <x v="241"/>
    <n v="20.3"/>
  </r>
  <r>
    <n v="1312"/>
    <x v="111"/>
    <x v="3"/>
    <x v="3"/>
    <s v="123 8th Street"/>
    <x v="2"/>
    <x v="2"/>
    <n v="99999"/>
    <s v="USA"/>
    <x v="2"/>
    <x v="2"/>
    <d v="2014-10-10T00:00:00"/>
    <s v="Shipping Company C"/>
    <s v="Elizabeth Andersen"/>
    <s v="123 8th Street"/>
    <x v="2"/>
    <s v="OR"/>
    <n v="99999"/>
    <s v="USA"/>
    <s v="Credit Card"/>
    <x v="15"/>
    <x v="10"/>
    <n v="34.799999999999997"/>
    <n v="93"/>
    <x v="242"/>
    <n v="313.93079999999998"/>
  </r>
  <r>
    <n v="1315"/>
    <x v="121"/>
    <x v="5"/>
    <x v="5"/>
    <s v="123 3rd Street"/>
    <x v="4"/>
    <x v="4"/>
    <n v="99999"/>
    <s v="USA"/>
    <x v="0"/>
    <x v="0"/>
    <d v="2014-10-05T00:00:00"/>
    <s v="Shipping Company B"/>
    <s v="Thomas Axerr"/>
    <s v="123 3rd Street"/>
    <x v="4"/>
    <s v="CA"/>
    <n v="99999"/>
    <s v="USA"/>
    <s v="Cash"/>
    <x v="16"/>
    <x v="7"/>
    <n v="10"/>
    <n v="11"/>
    <x v="243"/>
    <n v="11.440000000000001"/>
  </r>
  <r>
    <n v="1316"/>
    <x v="121"/>
    <x v="5"/>
    <x v="5"/>
    <s v="123 3rd Street"/>
    <x v="4"/>
    <x v="4"/>
    <n v="99999"/>
    <s v="USA"/>
    <x v="0"/>
    <x v="0"/>
    <d v="2014-10-05T00:00:00"/>
    <s v="Shipping Company B"/>
    <s v="Thomas Axerr"/>
    <s v="123 3rd Street"/>
    <x v="4"/>
    <s v="CA"/>
    <n v="99999"/>
    <s v="USA"/>
    <s v="Cash"/>
    <x v="9"/>
    <x v="5"/>
    <n v="40"/>
    <n v="91"/>
    <x v="157"/>
    <n v="364"/>
  </r>
  <r>
    <n v="1320"/>
    <x v="112"/>
    <x v="8"/>
    <x v="8"/>
    <s v="123 10th Street"/>
    <x v="7"/>
    <x v="7"/>
    <n v="99999"/>
    <s v="USA"/>
    <x v="6"/>
    <x v="1"/>
    <d v="2014-10-12T00:00:00"/>
    <s v="Shipping Company B"/>
    <s v="Roland Wacker"/>
    <s v="123 10th Street"/>
    <x v="7"/>
    <s v="IL"/>
    <n v="99999"/>
    <s v="USA"/>
    <s v="Credit Card"/>
    <x v="18"/>
    <x v="1"/>
    <n v="10"/>
    <n v="12"/>
    <x v="244"/>
    <n v="12.36"/>
  </r>
  <r>
    <n v="1322"/>
    <x v="112"/>
    <x v="8"/>
    <x v="8"/>
    <s v="123 10th Street"/>
    <x v="7"/>
    <x v="7"/>
    <n v="99999"/>
    <s v="USA"/>
    <x v="6"/>
    <x v="1"/>
    <m/>
    <s v="Shipping Company A"/>
    <s v="Roland Wacker"/>
    <s v="123 10th Street"/>
    <x v="7"/>
    <s v="IL"/>
    <n v="99999"/>
    <s v="USA"/>
    <m/>
    <x v="1"/>
    <x v="1"/>
    <n v="3.5"/>
    <n v="78"/>
    <x v="214"/>
    <n v="27.3"/>
  </r>
  <r>
    <n v="1323"/>
    <x v="114"/>
    <x v="10"/>
    <x v="10"/>
    <s v="123 11th Street"/>
    <x v="9"/>
    <x v="9"/>
    <n v="99999"/>
    <s v="USA"/>
    <x v="5"/>
    <x v="3"/>
    <m/>
    <s v="Shipping Company C"/>
    <s v="Peter Krschne"/>
    <s v="123 11th Street"/>
    <x v="9"/>
    <s v="FL"/>
    <n v="99999"/>
    <s v="USA"/>
    <m/>
    <x v="9"/>
    <x v="5"/>
    <n v="40"/>
    <n v="60"/>
    <x v="245"/>
    <n v="228"/>
  </r>
  <r>
    <n v="1324"/>
    <x v="115"/>
    <x v="11"/>
    <x v="11"/>
    <s v="123 1st Street"/>
    <x v="10"/>
    <x v="10"/>
    <n v="99999"/>
    <s v="USA"/>
    <x v="2"/>
    <x v="2"/>
    <m/>
    <s v="Shipping Company C"/>
    <s v="Anna Bedecs"/>
    <s v="123 1st Street"/>
    <x v="10"/>
    <s v="WA"/>
    <n v="99999"/>
    <s v="USA"/>
    <m/>
    <x v="13"/>
    <x v="8"/>
    <n v="18.399999999999999"/>
    <n v="23"/>
    <x v="246"/>
    <n v="43.589600000000004"/>
  </r>
  <r>
    <n v="1325"/>
    <x v="110"/>
    <x v="7"/>
    <x v="7"/>
    <s v="789 28th Street"/>
    <x v="6"/>
    <x v="6"/>
    <n v="99999"/>
    <s v="USA"/>
    <x v="5"/>
    <x v="3"/>
    <d v="2014-10-30T00:00:00"/>
    <s v="Shipping Company C"/>
    <s v="Amritansh Raghav"/>
    <s v="789 28th Street"/>
    <x v="6"/>
    <s v="TN"/>
    <n v="99999"/>
    <s v="USA"/>
    <s v="Credit Card"/>
    <x v="5"/>
    <x v="0"/>
    <n v="46"/>
    <n v="34"/>
    <x v="247"/>
    <n v="157.964"/>
  </r>
  <r>
    <n v="1326"/>
    <x v="116"/>
    <x v="12"/>
    <x v="12"/>
    <s v="123 9th Street"/>
    <x v="11"/>
    <x v="11"/>
    <n v="99999"/>
    <s v="USA"/>
    <x v="7"/>
    <x v="0"/>
    <d v="2014-10-11T00:00:00"/>
    <s v="Shipping Company A"/>
    <s v="Sven Mortensen"/>
    <s v="123 9th Street"/>
    <x v="11"/>
    <s v="UT"/>
    <n v="99999"/>
    <s v="USA"/>
    <s v="Check"/>
    <x v="8"/>
    <x v="4"/>
    <n v="9.65"/>
    <n v="89"/>
    <x v="248"/>
    <n v="86.743850000000009"/>
  </r>
  <r>
    <n v="1327"/>
    <x v="109"/>
    <x v="6"/>
    <x v="6"/>
    <s v="123 6th Street"/>
    <x v="5"/>
    <x v="5"/>
    <n v="99999"/>
    <s v="USA"/>
    <x v="4"/>
    <x v="2"/>
    <d v="2014-10-08T00:00:00"/>
    <s v="Shipping Company B"/>
    <s v="Francisco Pérez-Olaeta"/>
    <s v="123 6th Street"/>
    <x v="5"/>
    <s v="WI"/>
    <n v="99999"/>
    <s v="USA"/>
    <s v="Credit Card"/>
    <x v="7"/>
    <x v="3"/>
    <n v="12.75"/>
    <n v="82"/>
    <x v="249"/>
    <n v="103.50450000000001"/>
  </r>
  <r>
    <n v="1328"/>
    <x v="111"/>
    <x v="3"/>
    <x v="3"/>
    <s v="123 8th Street"/>
    <x v="2"/>
    <x v="2"/>
    <n v="99999"/>
    <s v="USA"/>
    <x v="2"/>
    <x v="2"/>
    <d v="2014-10-10T00:00:00"/>
    <s v="Shipping Company B"/>
    <s v="Elizabeth Andersen"/>
    <s v="123 8th Street"/>
    <x v="2"/>
    <s v="OR"/>
    <n v="99999"/>
    <s v="USA"/>
    <s v="Check"/>
    <x v="7"/>
    <x v="3"/>
    <n v="12.75"/>
    <n v="43"/>
    <x v="250"/>
    <n v="52.631999999999998"/>
  </r>
  <r>
    <n v="1329"/>
    <x v="122"/>
    <x v="8"/>
    <x v="8"/>
    <s v="123 10th Street"/>
    <x v="7"/>
    <x v="7"/>
    <n v="99999"/>
    <s v="USA"/>
    <x v="6"/>
    <x v="1"/>
    <d v="2014-11-12T00:00:00"/>
    <s v="Shipping Company A"/>
    <s v="Roland Wacker"/>
    <s v="123 10th Street"/>
    <x v="7"/>
    <s v="IL"/>
    <n v="99999"/>
    <s v="USA"/>
    <m/>
    <x v="12"/>
    <x v="7"/>
    <n v="22"/>
    <n v="96"/>
    <x v="251"/>
    <n v="221.76000000000002"/>
  </r>
  <r>
    <n v="1330"/>
    <x v="122"/>
    <x v="8"/>
    <x v="8"/>
    <s v="123 10th Street"/>
    <x v="7"/>
    <x v="7"/>
    <n v="99999"/>
    <s v="USA"/>
    <x v="6"/>
    <x v="1"/>
    <d v="2014-11-12T00:00:00"/>
    <s v="Shipping Company A"/>
    <s v="Roland Wacker"/>
    <s v="123 10th Street"/>
    <x v="7"/>
    <s v="IL"/>
    <n v="99999"/>
    <s v="USA"/>
    <m/>
    <x v="6"/>
    <x v="2"/>
    <n v="9.1999999999999993"/>
    <n v="34"/>
    <x v="252"/>
    <n v="31.279999999999998"/>
  </r>
  <r>
    <n v="1331"/>
    <x v="123"/>
    <x v="10"/>
    <x v="10"/>
    <s v="123 11th Street"/>
    <x v="9"/>
    <x v="9"/>
    <n v="99999"/>
    <s v="USA"/>
    <x v="5"/>
    <x v="3"/>
    <m/>
    <s v="Shipping Company C"/>
    <s v="Peter Krschne"/>
    <s v="123 11th Street"/>
    <x v="9"/>
    <s v="FL"/>
    <n v="99999"/>
    <s v="USA"/>
    <m/>
    <x v="1"/>
    <x v="1"/>
    <n v="3.5"/>
    <n v="42"/>
    <x v="253"/>
    <n v="15.141000000000002"/>
  </r>
  <r>
    <n v="1332"/>
    <x v="123"/>
    <x v="10"/>
    <x v="10"/>
    <s v="123 11th Street"/>
    <x v="9"/>
    <x v="9"/>
    <n v="99999"/>
    <s v="USA"/>
    <x v="5"/>
    <x v="3"/>
    <m/>
    <s v="Shipping Company C"/>
    <s v="Peter Krschne"/>
    <s v="123 11th Street"/>
    <x v="9"/>
    <s v="FL"/>
    <n v="99999"/>
    <s v="USA"/>
    <m/>
    <x v="10"/>
    <x v="0"/>
    <n v="2.99"/>
    <n v="100"/>
    <x v="254"/>
    <n v="30.498000000000001"/>
  </r>
  <r>
    <n v="1333"/>
    <x v="124"/>
    <x v="11"/>
    <x v="11"/>
    <s v="123 1st Street"/>
    <x v="10"/>
    <x v="10"/>
    <n v="99999"/>
    <s v="USA"/>
    <x v="2"/>
    <x v="2"/>
    <m/>
    <m/>
    <s v="Anna Bedecs"/>
    <s v="123 1st Street"/>
    <x v="10"/>
    <s v="WA"/>
    <n v="99999"/>
    <s v="USA"/>
    <m/>
    <x v="4"/>
    <x v="0"/>
    <n v="18"/>
    <n v="42"/>
    <x v="21"/>
    <n v="76.356000000000009"/>
  </r>
  <r>
    <n v="1334"/>
    <x v="124"/>
    <x v="11"/>
    <x v="11"/>
    <s v="123 1st Street"/>
    <x v="10"/>
    <x v="10"/>
    <n v="99999"/>
    <s v="USA"/>
    <x v="2"/>
    <x v="2"/>
    <m/>
    <m/>
    <s v="Anna Bedecs"/>
    <s v="123 1st Street"/>
    <x v="10"/>
    <s v="WA"/>
    <n v="99999"/>
    <s v="USA"/>
    <m/>
    <x v="5"/>
    <x v="0"/>
    <n v="46"/>
    <n v="16"/>
    <x v="129"/>
    <n v="70.656000000000006"/>
  </r>
  <r>
    <n v="1335"/>
    <x v="124"/>
    <x v="11"/>
    <x v="11"/>
    <s v="123 1st Street"/>
    <x v="10"/>
    <x v="10"/>
    <n v="99999"/>
    <s v="USA"/>
    <x v="2"/>
    <x v="2"/>
    <m/>
    <m/>
    <s v="Anna Bedecs"/>
    <s v="123 1st Street"/>
    <x v="10"/>
    <s v="WA"/>
    <n v="99999"/>
    <s v="USA"/>
    <m/>
    <x v="10"/>
    <x v="0"/>
    <n v="2.99"/>
    <n v="22"/>
    <x v="255"/>
    <n v="6.3806599999999998"/>
  </r>
  <r>
    <n v="1336"/>
    <x v="125"/>
    <x v="7"/>
    <x v="7"/>
    <s v="789 28th Street"/>
    <x v="6"/>
    <x v="6"/>
    <n v="99999"/>
    <s v="USA"/>
    <x v="5"/>
    <x v="3"/>
    <d v="2014-11-30T00:00:00"/>
    <s v="Shipping Company C"/>
    <s v="Amritansh Raghav"/>
    <s v="789 28th Street"/>
    <x v="6"/>
    <s v="TN"/>
    <n v="99999"/>
    <s v="USA"/>
    <s v="Credit Card"/>
    <x v="8"/>
    <x v="4"/>
    <n v="9.65"/>
    <n v="46"/>
    <x v="256"/>
    <n v="45.721700000000006"/>
  </r>
  <r>
    <n v="1337"/>
    <x v="125"/>
    <x v="7"/>
    <x v="7"/>
    <s v="789 28th Street"/>
    <x v="6"/>
    <x v="6"/>
    <n v="99999"/>
    <s v="USA"/>
    <x v="5"/>
    <x v="3"/>
    <n v="41973"/>
    <s v="Shipping Company C"/>
    <s v="Amritansh Raghav"/>
    <s v="789 28th Street"/>
    <x v="6"/>
    <s v="TN"/>
    <n v="99999"/>
    <s v="USA"/>
    <s v="Credit Card"/>
    <x v="13"/>
    <x v="8"/>
    <n v="18.399999999999999"/>
    <n v="100"/>
    <x v="257"/>
    <n v="184"/>
  </r>
  <r>
    <n v="1338"/>
    <x v="126"/>
    <x v="12"/>
    <x v="12"/>
    <s v="123 9th Street"/>
    <x v="11"/>
    <x v="11"/>
    <n v="99999"/>
    <s v="USA"/>
    <x v="7"/>
    <x v="0"/>
    <n v="41954"/>
    <s v="Shipping Company A"/>
    <s v="Sven Mortensen"/>
    <s v="123 9th Street"/>
    <x v="11"/>
    <s v="UT"/>
    <n v="99999"/>
    <s v="USA"/>
    <s v="Check"/>
    <x v="14"/>
    <x v="9"/>
    <n v="19.5"/>
    <n v="87"/>
    <x v="258"/>
    <n v="174.73950000000002"/>
  </r>
  <r>
    <n v="1339"/>
    <x v="126"/>
    <x v="12"/>
    <x v="12"/>
    <s v="123 9th Street"/>
    <x v="11"/>
    <x v="11"/>
    <n v="99999"/>
    <s v="USA"/>
    <x v="7"/>
    <x v="0"/>
    <n v="41954"/>
    <s v="Shipping Company A"/>
    <s v="Sven Mortensen"/>
    <s v="123 9th Street"/>
    <x v="11"/>
    <s v="UT"/>
    <n v="99999"/>
    <s v="USA"/>
    <s v="Check"/>
    <x v="15"/>
    <x v="10"/>
    <n v="34.799999999999997"/>
    <n v="58"/>
    <x v="259"/>
    <n v="205.8768"/>
  </r>
  <r>
    <n v="1340"/>
    <x v="127"/>
    <x v="6"/>
    <x v="6"/>
    <s v="123 6th Street"/>
    <x v="5"/>
    <x v="5"/>
    <n v="99999"/>
    <s v="USA"/>
    <x v="4"/>
    <x v="2"/>
    <n v="41951"/>
    <s v="Shipping Company B"/>
    <s v="Francisco Pérez-Olaeta"/>
    <s v="123 6th Street"/>
    <x v="5"/>
    <s v="WI"/>
    <n v="99999"/>
    <s v="USA"/>
    <s v="Credit Card"/>
    <x v="0"/>
    <x v="0"/>
    <n v="14"/>
    <n v="85"/>
    <x v="260"/>
    <n v="120.19"/>
  </r>
  <r>
    <n v="1341"/>
    <x v="128"/>
    <x v="3"/>
    <x v="3"/>
    <s v="123 8th Street"/>
    <x v="2"/>
    <x v="2"/>
    <n v="99999"/>
    <s v="USA"/>
    <x v="2"/>
    <x v="2"/>
    <n v="41953"/>
    <s v="Shipping Company B"/>
    <s v="Elizabeth Andersen"/>
    <s v="123 8th Street"/>
    <x v="2"/>
    <s v="OR"/>
    <n v="99999"/>
    <s v="USA"/>
    <s v="Check"/>
    <x v="9"/>
    <x v="5"/>
    <n v="40"/>
    <n v="28"/>
    <x v="139"/>
    <n v="110.88"/>
  </r>
  <r>
    <n v="1342"/>
    <x v="128"/>
    <x v="3"/>
    <x v="3"/>
    <s v="123 8th Street"/>
    <x v="2"/>
    <x v="2"/>
    <n v="99999"/>
    <s v="USA"/>
    <x v="2"/>
    <x v="2"/>
    <d v="2014-11-10T00:00:00"/>
    <s v="Shipping Company B"/>
    <s v="Elizabeth Andersen"/>
    <s v="123 8th Street"/>
    <x v="2"/>
    <s v="OR"/>
    <n v="99999"/>
    <s v="USA"/>
    <s v="Check"/>
    <x v="6"/>
    <x v="2"/>
    <n v="9.1999999999999993"/>
    <n v="19"/>
    <x v="261"/>
    <n v="17.130400000000002"/>
  </r>
  <r>
    <n v="1343"/>
    <x v="129"/>
    <x v="13"/>
    <x v="13"/>
    <s v="789 25th Street"/>
    <x v="7"/>
    <x v="7"/>
    <n v="99999"/>
    <s v="USA"/>
    <x v="6"/>
    <x v="1"/>
    <d v="2014-11-27T00:00:00"/>
    <s v="Shipping Company A"/>
    <s v="John Rodman"/>
    <s v="789 25th Street"/>
    <x v="7"/>
    <s v="IL"/>
    <n v="99999"/>
    <s v="USA"/>
    <s v="Cash"/>
    <x v="21"/>
    <x v="2"/>
    <n v="10"/>
    <n v="99"/>
    <x v="82"/>
    <n v="102.96000000000001"/>
  </r>
  <r>
    <n v="1344"/>
    <x v="130"/>
    <x v="14"/>
    <x v="14"/>
    <s v="789 26th Street"/>
    <x v="9"/>
    <x v="9"/>
    <n v="99999"/>
    <s v="USA"/>
    <x v="5"/>
    <x v="3"/>
    <d v="2014-11-28T00:00:00"/>
    <s v="Shipping Company C"/>
    <s v="Run Liu"/>
    <s v="789 26th Street"/>
    <x v="9"/>
    <s v="FL"/>
    <n v="99999"/>
    <s v="USA"/>
    <s v="Credit Card"/>
    <x v="22"/>
    <x v="13"/>
    <n v="21.35"/>
    <n v="69"/>
    <x v="262"/>
    <n v="153.20760000000004"/>
  </r>
  <r>
    <n v="1345"/>
    <x v="130"/>
    <x v="14"/>
    <x v="14"/>
    <s v="789 26th Street"/>
    <x v="9"/>
    <x v="9"/>
    <n v="99999"/>
    <s v="USA"/>
    <x v="5"/>
    <x v="3"/>
    <d v="2014-11-28T00:00:00"/>
    <s v="Shipping Company C"/>
    <s v="Run Liu"/>
    <s v="789 26th Street"/>
    <x v="9"/>
    <s v="FL"/>
    <n v="99999"/>
    <s v="USA"/>
    <s v="Credit Card"/>
    <x v="8"/>
    <x v="4"/>
    <n v="9.65"/>
    <n v="37"/>
    <x v="263"/>
    <n v="33.919750000000001"/>
  </r>
  <r>
    <n v="1346"/>
    <x v="130"/>
    <x v="14"/>
    <x v="14"/>
    <s v="789 26th Street"/>
    <x v="9"/>
    <x v="9"/>
    <n v="99999"/>
    <s v="USA"/>
    <x v="5"/>
    <x v="3"/>
    <d v="2014-11-28T00:00:00"/>
    <s v="Shipping Company C"/>
    <s v="Run Liu"/>
    <s v="789 26th Street"/>
    <x v="9"/>
    <s v="FL"/>
    <n v="99999"/>
    <s v="USA"/>
    <s v="Credit Card"/>
    <x v="13"/>
    <x v="8"/>
    <n v="18.399999999999999"/>
    <n v="64"/>
    <x v="107"/>
    <n v="118.93759999999999"/>
  </r>
  <r>
    <n v="1347"/>
    <x v="131"/>
    <x v="4"/>
    <x v="4"/>
    <s v="789 29th Street"/>
    <x v="3"/>
    <x v="3"/>
    <n v="99999"/>
    <s v="USA"/>
    <x v="3"/>
    <x v="0"/>
    <d v="2014-12-01T00:00:00"/>
    <s v="Shipping Company B"/>
    <s v="Soo Jung Lee"/>
    <s v="789 29th Street"/>
    <x v="3"/>
    <s v="CO"/>
    <n v="99999"/>
    <s v="USA"/>
    <s v="Check"/>
    <x v="0"/>
    <x v="0"/>
    <n v="14"/>
    <n v="38"/>
    <x v="197"/>
    <n v="55.328000000000003"/>
  </r>
  <r>
    <n v="1348"/>
    <x v="127"/>
    <x v="6"/>
    <x v="6"/>
    <s v="123 6th Street"/>
    <x v="5"/>
    <x v="5"/>
    <n v="99999"/>
    <s v="USA"/>
    <x v="4"/>
    <x v="2"/>
    <d v="2014-11-08T00:00:00"/>
    <s v="Shipping Company C"/>
    <s v="Francisco Pérez-Olaeta"/>
    <s v="123 6th Street"/>
    <x v="5"/>
    <s v="WI"/>
    <n v="99999"/>
    <s v="USA"/>
    <s v="Check"/>
    <x v="7"/>
    <x v="3"/>
    <n v="12.75"/>
    <n v="15"/>
    <x v="264"/>
    <n v="18.55125"/>
  </r>
  <r>
    <n v="1350"/>
    <x v="132"/>
    <x v="1"/>
    <x v="1"/>
    <s v="123 4th Street"/>
    <x v="1"/>
    <x v="1"/>
    <n v="99999"/>
    <s v="USA"/>
    <x v="1"/>
    <x v="1"/>
    <d v="2014-11-06T00:00:00"/>
    <s v="Shipping Company A"/>
    <s v="Christina Lee"/>
    <s v="123 4th Street"/>
    <x v="1"/>
    <s v="NY"/>
    <n v="99999"/>
    <s v="USA"/>
    <s v="Credit Card"/>
    <x v="23"/>
    <x v="6"/>
    <n v="81"/>
    <n v="52"/>
    <x v="265"/>
    <n v="412.77600000000001"/>
  </r>
  <r>
    <n v="1351"/>
    <x v="132"/>
    <x v="1"/>
    <x v="1"/>
    <s v="123 4th Street"/>
    <x v="1"/>
    <x v="1"/>
    <n v="99999"/>
    <s v="USA"/>
    <x v="1"/>
    <x v="1"/>
    <d v="2014-11-06T00:00:00"/>
    <s v="Shipping Company A"/>
    <s v="Christina Lee"/>
    <s v="123 4th Street"/>
    <x v="1"/>
    <s v="NY"/>
    <n v="99999"/>
    <s v="USA"/>
    <s v="Credit Card"/>
    <x v="24"/>
    <x v="14"/>
    <n v="7"/>
    <n v="37"/>
    <x v="58"/>
    <n v="25.382000000000001"/>
  </r>
  <r>
    <n v="1353"/>
    <x v="128"/>
    <x v="3"/>
    <x v="3"/>
    <s v="123 8th Street"/>
    <x v="2"/>
    <x v="2"/>
    <n v="99999"/>
    <s v="USA"/>
    <x v="2"/>
    <x v="2"/>
    <d v="2014-11-10T00:00:00"/>
    <s v="Shipping Company C"/>
    <s v="Elizabeth Andersen"/>
    <s v="123 8th Street"/>
    <x v="2"/>
    <s v="OR"/>
    <n v="99999"/>
    <s v="USA"/>
    <s v="Credit Card"/>
    <x v="15"/>
    <x v="10"/>
    <n v="34.799999999999997"/>
    <n v="24"/>
    <x v="266"/>
    <n v="80.179199999999994"/>
  </r>
  <r>
    <n v="1356"/>
    <x v="133"/>
    <x v="5"/>
    <x v="5"/>
    <s v="123 3rd Street"/>
    <x v="4"/>
    <x v="4"/>
    <n v="99999"/>
    <s v="USA"/>
    <x v="0"/>
    <x v="0"/>
    <d v="2014-11-05T00:00:00"/>
    <s v="Shipping Company B"/>
    <s v="Thomas Axerr"/>
    <s v="123 3rd Street"/>
    <x v="4"/>
    <s v="CA"/>
    <n v="99999"/>
    <s v="USA"/>
    <s v="Cash"/>
    <x v="16"/>
    <x v="7"/>
    <n v="10"/>
    <n v="36"/>
    <x v="267"/>
    <n v="37.08"/>
  </r>
  <r>
    <n v="1357"/>
    <x v="133"/>
    <x v="5"/>
    <x v="5"/>
    <s v="123 3rd Street"/>
    <x v="4"/>
    <x v="4"/>
    <n v="99999"/>
    <s v="USA"/>
    <x v="0"/>
    <x v="0"/>
    <d v="2014-11-05T00:00:00"/>
    <s v="Shipping Company B"/>
    <s v="Thomas Axerr"/>
    <s v="123 3rd Street"/>
    <x v="4"/>
    <s v="CA"/>
    <n v="99999"/>
    <s v="USA"/>
    <s v="Cash"/>
    <x v="9"/>
    <x v="5"/>
    <n v="40"/>
    <n v="24"/>
    <x v="268"/>
    <n v="96"/>
  </r>
  <r>
    <n v="1361"/>
    <x v="122"/>
    <x v="8"/>
    <x v="8"/>
    <s v="123 10th Street"/>
    <x v="7"/>
    <x v="7"/>
    <n v="99999"/>
    <s v="USA"/>
    <x v="6"/>
    <x v="1"/>
    <d v="2014-11-12T00:00:00"/>
    <s v="Shipping Company B"/>
    <s v="Roland Wacker"/>
    <s v="123 10th Street"/>
    <x v="7"/>
    <s v="IL"/>
    <n v="99999"/>
    <s v="USA"/>
    <s v="Credit Card"/>
    <x v="18"/>
    <x v="1"/>
    <n v="10"/>
    <n v="20"/>
    <x v="269"/>
    <n v="20"/>
  </r>
  <r>
    <n v="1363"/>
    <x v="122"/>
    <x v="8"/>
    <x v="8"/>
    <s v="123 10th Street"/>
    <x v="7"/>
    <x v="7"/>
    <n v="99999"/>
    <s v="USA"/>
    <x v="6"/>
    <x v="1"/>
    <m/>
    <s v="Shipping Company A"/>
    <s v="Roland Wacker"/>
    <s v="123 10th Street"/>
    <x v="7"/>
    <s v="IL"/>
    <n v="99999"/>
    <s v="USA"/>
    <m/>
    <x v="1"/>
    <x v="1"/>
    <n v="3.5"/>
    <n v="11"/>
    <x v="4"/>
    <n v="3.7345000000000002"/>
  </r>
  <r>
    <n v="1364"/>
    <x v="123"/>
    <x v="10"/>
    <x v="10"/>
    <s v="123 11th Street"/>
    <x v="9"/>
    <x v="9"/>
    <n v="99999"/>
    <s v="USA"/>
    <x v="5"/>
    <x v="3"/>
    <m/>
    <s v="Shipping Company C"/>
    <s v="Peter Krschne"/>
    <s v="123 11th Street"/>
    <x v="9"/>
    <s v="FL"/>
    <n v="99999"/>
    <s v="USA"/>
    <m/>
    <x v="9"/>
    <x v="5"/>
    <n v="40"/>
    <n v="78"/>
    <x v="189"/>
    <n v="299.52"/>
  </r>
  <r>
    <n v="1365"/>
    <x v="124"/>
    <x v="11"/>
    <x v="11"/>
    <s v="123 1st Street"/>
    <x v="10"/>
    <x v="10"/>
    <n v="99999"/>
    <s v="USA"/>
    <x v="2"/>
    <x v="2"/>
    <m/>
    <s v="Shipping Company C"/>
    <s v="Anna Bedecs"/>
    <s v="123 1st Street"/>
    <x v="10"/>
    <s v="WA"/>
    <n v="99999"/>
    <s v="USA"/>
    <m/>
    <x v="13"/>
    <x v="8"/>
    <n v="18.399999999999999"/>
    <n v="76"/>
    <x v="270"/>
    <n v="144.0352"/>
  </r>
  <r>
    <n v="1366"/>
    <x v="125"/>
    <x v="7"/>
    <x v="7"/>
    <s v="789 28th Street"/>
    <x v="6"/>
    <x v="6"/>
    <n v="99999"/>
    <s v="USA"/>
    <x v="5"/>
    <x v="3"/>
    <d v="2014-11-30T00:00:00"/>
    <s v="Shipping Company C"/>
    <s v="Amritansh Raghav"/>
    <s v="789 28th Street"/>
    <x v="6"/>
    <s v="TN"/>
    <n v="99999"/>
    <s v="USA"/>
    <s v="Credit Card"/>
    <x v="5"/>
    <x v="0"/>
    <n v="46"/>
    <n v="57"/>
    <x v="271"/>
    <n v="272.68799999999999"/>
  </r>
  <r>
    <n v="1367"/>
    <x v="126"/>
    <x v="12"/>
    <x v="12"/>
    <s v="123 9th Street"/>
    <x v="11"/>
    <x v="11"/>
    <n v="99999"/>
    <s v="USA"/>
    <x v="7"/>
    <x v="0"/>
    <d v="2014-11-11T00:00:00"/>
    <s v="Shipping Company A"/>
    <s v="Sven Mortensen"/>
    <s v="123 9th Street"/>
    <x v="11"/>
    <s v="UT"/>
    <n v="99999"/>
    <s v="USA"/>
    <s v="Check"/>
    <x v="8"/>
    <x v="4"/>
    <n v="9.65"/>
    <n v="14"/>
    <x v="272"/>
    <n v="12.9696"/>
  </r>
  <r>
    <n v="1368"/>
    <x v="134"/>
    <x v="0"/>
    <x v="0"/>
    <s v="789 27th Street"/>
    <x v="0"/>
    <x v="0"/>
    <n v="99999"/>
    <s v="USA"/>
    <x v="0"/>
    <x v="0"/>
    <d v="2014-12-29T00:00:00"/>
    <s v="Shipping Company B"/>
    <s v="Karen Toh"/>
    <s v="789 27th Street"/>
    <x v="0"/>
    <s v="NV"/>
    <n v="99999"/>
    <s v="USA"/>
    <s v="Check"/>
    <x v="0"/>
    <x v="0"/>
    <n v="14"/>
    <n v="14"/>
    <x v="273"/>
    <n v="19.796000000000003"/>
  </r>
  <r>
    <n v="1369"/>
    <x v="134"/>
    <x v="0"/>
    <x v="0"/>
    <s v="789 27th Street"/>
    <x v="0"/>
    <x v="0"/>
    <n v="99999"/>
    <s v="USA"/>
    <x v="0"/>
    <x v="0"/>
    <d v="2014-12-29T00:00:00"/>
    <s v="Shipping Company B"/>
    <s v="Karen Toh"/>
    <s v="789 27th Street"/>
    <x v="0"/>
    <s v="NV"/>
    <n v="99999"/>
    <s v="USA"/>
    <s v="Check"/>
    <x v="1"/>
    <x v="1"/>
    <n v="3.5"/>
    <n v="70"/>
    <x v="274"/>
    <n v="25.234999999999999"/>
  </r>
  <r>
    <n v="1370"/>
    <x v="135"/>
    <x v="1"/>
    <x v="1"/>
    <s v="123 4th Street"/>
    <x v="1"/>
    <x v="1"/>
    <n v="99999"/>
    <s v="USA"/>
    <x v="1"/>
    <x v="1"/>
    <d v="2014-12-06T00:00:00"/>
    <s v="Shipping Company A"/>
    <s v="Christina Lee"/>
    <s v="123 4th Street"/>
    <x v="1"/>
    <s v="NY"/>
    <n v="99999"/>
    <s v="USA"/>
    <s v="Credit Card"/>
    <x v="2"/>
    <x v="1"/>
    <n v="30"/>
    <n v="100"/>
    <x v="275"/>
    <n v="291"/>
  </r>
  <r>
    <n v="1371"/>
    <x v="135"/>
    <x v="1"/>
    <x v="1"/>
    <s v="123 4th Street"/>
    <x v="1"/>
    <x v="1"/>
    <n v="99999"/>
    <s v="USA"/>
    <x v="1"/>
    <x v="1"/>
    <d v="2014-12-06T00:00:00"/>
    <s v="Shipping Company A"/>
    <s v="Christina Lee"/>
    <s v="123 4th Street"/>
    <x v="1"/>
    <s v="NY"/>
    <n v="99999"/>
    <s v="USA"/>
    <s v="Credit Card"/>
    <x v="3"/>
    <x v="1"/>
    <n v="53"/>
    <n v="27"/>
    <x v="276"/>
    <n v="143.1"/>
  </r>
  <r>
    <n v="1372"/>
    <x v="135"/>
    <x v="1"/>
    <x v="1"/>
    <s v="123 4th Street"/>
    <x v="1"/>
    <x v="1"/>
    <n v="99999"/>
    <s v="USA"/>
    <x v="1"/>
    <x v="1"/>
    <d v="2014-12-06T00:00:00"/>
    <s v="Shipping Company A"/>
    <s v="Christina Lee"/>
    <s v="123 4th Street"/>
    <x v="1"/>
    <s v="NY"/>
    <n v="99999"/>
    <s v="USA"/>
    <s v="Credit Card"/>
    <x v="1"/>
    <x v="1"/>
    <n v="3.5"/>
    <n v="70"/>
    <x v="274"/>
    <n v="24.009999999999998"/>
  </r>
  <r>
    <n v="1373"/>
    <x v="136"/>
    <x v="2"/>
    <x v="2"/>
    <s v="123 12th Street"/>
    <x v="0"/>
    <x v="0"/>
    <n v="99999"/>
    <s v="USA"/>
    <x v="0"/>
    <x v="0"/>
    <d v="2014-12-14T00:00:00"/>
    <s v="Shipping Company B"/>
    <s v="John Edwards"/>
    <s v="123 12th Street"/>
    <x v="0"/>
    <s v="NV"/>
    <n v="99999"/>
    <s v="USA"/>
    <s v="Credit Card"/>
    <x v="4"/>
    <x v="0"/>
    <n v="18"/>
    <n v="57"/>
    <x v="277"/>
    <n v="102.60000000000001"/>
  </r>
  <r>
    <n v="1374"/>
    <x v="136"/>
    <x v="2"/>
    <x v="2"/>
    <s v="123 12th Street"/>
    <x v="0"/>
    <x v="0"/>
    <n v="99999"/>
    <s v="USA"/>
    <x v="0"/>
    <x v="0"/>
    <d v="2014-12-14T00:00:00"/>
    <s v="Shipping Company B"/>
    <s v="John Edwards"/>
    <s v="123 12th Street"/>
    <x v="0"/>
    <s v="NV"/>
    <n v="99999"/>
    <s v="USA"/>
    <s v="Credit Card"/>
    <x v="5"/>
    <x v="0"/>
    <n v="46"/>
    <n v="83"/>
    <x v="278"/>
    <n v="374.16399999999999"/>
  </r>
  <r>
    <n v="1375"/>
    <x v="137"/>
    <x v="3"/>
    <x v="3"/>
    <s v="123 8th Street"/>
    <x v="2"/>
    <x v="2"/>
    <n v="99999"/>
    <s v="USA"/>
    <x v="2"/>
    <x v="2"/>
    <d v="2014-12-10T00:00:00"/>
    <s v="Shipping Company C"/>
    <s v="Elizabeth Andersen"/>
    <s v="123 8th Street"/>
    <x v="2"/>
    <s v="OR"/>
    <n v="99999"/>
    <s v="USA"/>
    <s v="Credit Card"/>
    <x v="6"/>
    <x v="2"/>
    <n v="9.1999999999999993"/>
    <n v="76"/>
    <x v="279"/>
    <n v="67.123199999999997"/>
  </r>
  <r>
    <n v="1376"/>
    <x v="135"/>
    <x v="1"/>
    <x v="1"/>
    <s v="123 4th Street"/>
    <x v="1"/>
    <x v="1"/>
    <n v="99999"/>
    <s v="USA"/>
    <x v="1"/>
    <x v="1"/>
    <n v="41979"/>
    <s v="Shipping Company C"/>
    <s v="Christina Lee"/>
    <s v="123 4th Street"/>
    <x v="1"/>
    <s v="NY"/>
    <n v="99999"/>
    <s v="USA"/>
    <s v="Check"/>
    <x v="6"/>
    <x v="2"/>
    <n v="9.1999999999999993"/>
    <n v="80"/>
    <x v="129"/>
    <n v="72.864000000000004"/>
  </r>
  <r>
    <n v="1377"/>
    <x v="138"/>
    <x v="4"/>
    <x v="4"/>
    <s v="789 29th Street"/>
    <x v="3"/>
    <x v="3"/>
    <n v="99999"/>
    <s v="USA"/>
    <x v="3"/>
    <x v="0"/>
    <n v="42004"/>
    <s v="Shipping Company B"/>
    <s v="Soo Jung Lee"/>
    <s v="789 29th Street"/>
    <x v="3"/>
    <s v="CO"/>
    <n v="99999"/>
    <s v="USA"/>
    <s v="Check"/>
    <x v="7"/>
    <x v="3"/>
    <n v="12.75"/>
    <n v="47"/>
    <x v="13"/>
    <n v="59.325750000000006"/>
  </r>
  <r>
    <n v="1378"/>
    <x v="139"/>
    <x v="5"/>
    <x v="5"/>
    <s v="123 3rd Street"/>
    <x v="4"/>
    <x v="4"/>
    <n v="99999"/>
    <s v="USA"/>
    <x v="0"/>
    <x v="0"/>
    <n v="41978"/>
    <s v="Shipping Company B"/>
    <s v="Thomas Axerr"/>
    <s v="123 3rd Street"/>
    <x v="4"/>
    <s v="CA"/>
    <n v="99999"/>
    <s v="USA"/>
    <s v="Cash"/>
    <x v="8"/>
    <x v="4"/>
    <n v="9.65"/>
    <n v="96"/>
    <x v="280"/>
    <n v="94.492800000000017"/>
  </r>
  <r>
    <n v="1379"/>
    <x v="140"/>
    <x v="6"/>
    <x v="6"/>
    <s v="123 6th Street"/>
    <x v="5"/>
    <x v="5"/>
    <n v="99999"/>
    <s v="USA"/>
    <x v="4"/>
    <x v="2"/>
    <n v="41981"/>
    <s v="Shipping Company B"/>
    <s v="Francisco Pérez-Olaeta"/>
    <s v="123 6th Street"/>
    <x v="5"/>
    <s v="WI"/>
    <n v="99999"/>
    <s v="USA"/>
    <s v="Credit Card"/>
    <x v="9"/>
    <x v="5"/>
    <n v="40"/>
    <n v="32"/>
    <x v="11"/>
    <n v="134.4"/>
  </r>
  <r>
    <n v="1380"/>
    <x v="141"/>
    <x v="7"/>
    <x v="7"/>
    <s v="789 28th Street"/>
    <x v="6"/>
    <x v="6"/>
    <n v="99999"/>
    <s v="USA"/>
    <x v="5"/>
    <x v="3"/>
    <d v="2014-12-30T00:00:00"/>
    <s v="Shipping Company C"/>
    <s v="Amritansh Raghav"/>
    <s v="789 28th Street"/>
    <x v="6"/>
    <s v="TN"/>
    <n v="99999"/>
    <s v="USA"/>
    <s v="Check"/>
    <x v="5"/>
    <x v="0"/>
    <n v="46"/>
    <n v="16"/>
    <x v="129"/>
    <n v="73.600000000000009"/>
  </r>
  <r>
    <n v="1381"/>
    <x v="137"/>
    <x v="3"/>
    <x v="3"/>
    <s v="123 8th Street"/>
    <x v="2"/>
    <x v="2"/>
    <n v="99999"/>
    <s v="USA"/>
    <x v="2"/>
    <x v="2"/>
    <d v="2014-12-10T00:00:00"/>
    <s v="Shipping Company C"/>
    <s v="Elizabeth Andersen"/>
    <s v="123 8th Street"/>
    <x v="2"/>
    <s v="OR"/>
    <n v="99999"/>
    <s v="USA"/>
    <s v="Check"/>
    <x v="7"/>
    <x v="3"/>
    <n v="12.75"/>
    <n v="41"/>
    <x v="87"/>
    <n v="51.229500000000002"/>
  </r>
  <r>
    <n v="1382"/>
    <x v="142"/>
    <x v="8"/>
    <x v="8"/>
    <s v="123 10th Street"/>
    <x v="7"/>
    <x v="7"/>
    <n v="99999"/>
    <s v="USA"/>
    <x v="6"/>
    <x v="1"/>
    <d v="2014-12-12T00:00:00"/>
    <s v="Shipping Company B"/>
    <s v="Roland Wacker"/>
    <s v="123 10th Street"/>
    <x v="7"/>
    <s v="IL"/>
    <n v="99999"/>
    <s v="USA"/>
    <s v="Credit Card"/>
    <x v="10"/>
    <x v="0"/>
    <n v="2.99"/>
    <n v="41"/>
    <x v="281"/>
    <n v="12.871950000000002"/>
  </r>
  <r>
    <n v="1383"/>
    <x v="143"/>
    <x v="9"/>
    <x v="9"/>
    <s v="123 7th Street"/>
    <x v="8"/>
    <x v="8"/>
    <n v="99999"/>
    <s v="USA"/>
    <x v="2"/>
    <x v="2"/>
    <m/>
    <m/>
    <s v="Ming-Yang Xie"/>
    <s v="123 7th Street"/>
    <x v="8"/>
    <s v="ID"/>
    <n v="99999"/>
    <s v="USA"/>
    <m/>
    <x v="5"/>
    <x v="0"/>
    <n v="46"/>
    <n v="41"/>
    <x v="282"/>
    <n v="194.25800000000004"/>
  </r>
  <r>
    <n v="1384"/>
    <x v="142"/>
    <x v="8"/>
    <x v="8"/>
    <s v="123 10th Street"/>
    <x v="7"/>
    <x v="7"/>
    <n v="99999"/>
    <s v="USA"/>
    <x v="6"/>
    <x v="1"/>
    <d v="2014-12-12T00:00:00"/>
    <s v="Shipping Company A"/>
    <s v="Roland Wacker"/>
    <s v="123 10th Street"/>
    <x v="7"/>
    <s v="IL"/>
    <n v="99999"/>
    <s v="USA"/>
    <m/>
    <x v="11"/>
    <x v="6"/>
    <n v="25"/>
    <n v="94"/>
    <x v="283"/>
    <n v="235"/>
  </r>
  <r>
    <n v="1385"/>
    <x v="142"/>
    <x v="8"/>
    <x v="8"/>
    <s v="123 10th Street"/>
    <x v="7"/>
    <x v="7"/>
    <n v="99999"/>
    <s v="USA"/>
    <x v="6"/>
    <x v="1"/>
    <d v="2014-12-12T00:00:00"/>
    <s v="Shipping Company A"/>
    <s v="Roland Wacker"/>
    <s v="123 10th Street"/>
    <x v="7"/>
    <s v="IL"/>
    <n v="99999"/>
    <s v="USA"/>
    <m/>
    <x v="12"/>
    <x v="7"/>
    <n v="22"/>
    <n v="20"/>
    <x v="284"/>
    <n v="46.2"/>
  </r>
  <r>
    <n v="1386"/>
    <x v="142"/>
    <x v="8"/>
    <x v="8"/>
    <s v="123 10th Street"/>
    <x v="7"/>
    <x v="7"/>
    <n v="99999"/>
    <s v="USA"/>
    <x v="6"/>
    <x v="1"/>
    <n v="41985"/>
    <s v="Shipping Company A"/>
    <s v="Roland Wacker"/>
    <s v="123 10th Street"/>
    <x v="7"/>
    <s v="IL"/>
    <n v="99999"/>
    <s v="USA"/>
    <m/>
    <x v="6"/>
    <x v="2"/>
    <n v="9.1999999999999993"/>
    <n v="13"/>
    <x v="285"/>
    <n v="12.438400000000001"/>
  </r>
  <r>
    <n v="1387"/>
    <x v="144"/>
    <x v="10"/>
    <x v="10"/>
    <s v="123 11th Street"/>
    <x v="9"/>
    <x v="9"/>
    <n v="99999"/>
    <s v="USA"/>
    <x v="5"/>
    <x v="3"/>
    <m/>
    <s v="Shipping Company C"/>
    <s v="Peter Krschne"/>
    <s v="123 11th Street"/>
    <x v="9"/>
    <s v="FL"/>
    <n v="99999"/>
    <s v="USA"/>
    <m/>
    <x v="1"/>
    <x v="1"/>
    <n v="3.5"/>
    <n v="74"/>
    <x v="58"/>
    <n v="26.936000000000003"/>
  </r>
  <r>
    <n v="1388"/>
    <x v="144"/>
    <x v="10"/>
    <x v="10"/>
    <s v="123 11th Street"/>
    <x v="9"/>
    <x v="9"/>
    <n v="99999"/>
    <s v="USA"/>
    <x v="5"/>
    <x v="3"/>
    <m/>
    <s v="Shipping Company C"/>
    <s v="Peter Krschne"/>
    <s v="123 11th Street"/>
    <x v="9"/>
    <s v="FL"/>
    <n v="99999"/>
    <s v="USA"/>
    <m/>
    <x v="10"/>
    <x v="0"/>
    <n v="2.99"/>
    <n v="53"/>
    <x v="286"/>
    <n v="16.005470000000003"/>
  </r>
  <r>
    <n v="1389"/>
    <x v="145"/>
    <x v="11"/>
    <x v="11"/>
    <s v="123 1st Street"/>
    <x v="10"/>
    <x v="10"/>
    <n v="99999"/>
    <s v="USA"/>
    <x v="2"/>
    <x v="2"/>
    <m/>
    <m/>
    <s v="Anna Bedecs"/>
    <s v="123 1st Street"/>
    <x v="10"/>
    <s v="WA"/>
    <n v="99999"/>
    <s v="USA"/>
    <m/>
    <x v="4"/>
    <x v="0"/>
    <n v="18"/>
    <n v="99"/>
    <x v="287"/>
    <n v="174.63600000000002"/>
  </r>
  <r>
    <n v="1390"/>
    <x v="145"/>
    <x v="11"/>
    <x v="11"/>
    <s v="123 1st Street"/>
    <x v="10"/>
    <x v="10"/>
    <n v="99999"/>
    <s v="USA"/>
    <x v="2"/>
    <x v="2"/>
    <m/>
    <m/>
    <s v="Anna Bedecs"/>
    <s v="123 1st Street"/>
    <x v="10"/>
    <s v="WA"/>
    <n v="99999"/>
    <s v="USA"/>
    <m/>
    <x v="5"/>
    <x v="0"/>
    <n v="46"/>
    <n v="89"/>
    <x v="288"/>
    <n v="388.93"/>
  </r>
  <r>
    <n v="1391"/>
    <x v="145"/>
    <x v="11"/>
    <x v="11"/>
    <s v="123 1st Street"/>
    <x v="10"/>
    <x v="10"/>
    <n v="99999"/>
    <s v="USA"/>
    <x v="2"/>
    <x v="2"/>
    <m/>
    <m/>
    <s v="Anna Bedecs"/>
    <s v="123 1st Street"/>
    <x v="10"/>
    <s v="WA"/>
    <n v="99999"/>
    <s v="USA"/>
    <m/>
    <x v="10"/>
    <x v="0"/>
    <n v="2.99"/>
    <n v="64"/>
    <x v="200"/>
    <n v="19.518720000000002"/>
  </r>
  <r>
    <n v="1392"/>
    <x v="141"/>
    <x v="7"/>
    <x v="7"/>
    <s v="789 28th Street"/>
    <x v="6"/>
    <x v="6"/>
    <n v="99999"/>
    <s v="USA"/>
    <x v="5"/>
    <x v="3"/>
    <d v="2014-12-30T00:00:00"/>
    <s v="Shipping Company C"/>
    <s v="Amritansh Raghav"/>
    <s v="789 28th Street"/>
    <x v="6"/>
    <s v="TN"/>
    <n v="99999"/>
    <s v="USA"/>
    <s v="Credit Card"/>
    <x v="8"/>
    <x v="4"/>
    <n v="9.65"/>
    <n v="98"/>
    <x v="289"/>
    <n v="96.461400000000012"/>
  </r>
  <r>
    <n v="1393"/>
    <x v="141"/>
    <x v="7"/>
    <x v="7"/>
    <s v="789 28th Street"/>
    <x v="6"/>
    <x v="6"/>
    <n v="99999"/>
    <s v="USA"/>
    <x v="5"/>
    <x v="3"/>
    <d v="2014-12-30T00:00:00"/>
    <s v="Shipping Company C"/>
    <s v="Amritansh Raghav"/>
    <s v="789 28th Street"/>
    <x v="6"/>
    <s v="TN"/>
    <n v="99999"/>
    <s v="USA"/>
    <s v="Credit Card"/>
    <x v="13"/>
    <x v="8"/>
    <n v="18.399999999999999"/>
    <n v="86"/>
    <x v="290"/>
    <n v="155.0752"/>
  </r>
  <r>
    <n v="1394"/>
    <x v="146"/>
    <x v="12"/>
    <x v="12"/>
    <s v="123 9th Street"/>
    <x v="11"/>
    <x v="11"/>
    <n v="99999"/>
    <s v="USA"/>
    <x v="7"/>
    <x v="0"/>
    <d v="2014-12-11T00:00:00"/>
    <s v="Shipping Company A"/>
    <s v="Sven Mortensen"/>
    <s v="123 9th Street"/>
    <x v="11"/>
    <s v="UT"/>
    <n v="99999"/>
    <s v="USA"/>
    <s v="Check"/>
    <x v="14"/>
    <x v="9"/>
    <n v="19.5"/>
    <n v="20"/>
    <x v="291"/>
    <n v="40.950000000000003"/>
  </r>
  <r>
    <n v="1395"/>
    <x v="146"/>
    <x v="12"/>
    <x v="12"/>
    <s v="123 9th Street"/>
    <x v="11"/>
    <x v="11"/>
    <n v="99999"/>
    <s v="USA"/>
    <x v="7"/>
    <x v="0"/>
    <d v="2014-12-11T00:00:00"/>
    <s v="Shipping Company A"/>
    <s v="Sven Mortensen"/>
    <s v="123 9th Street"/>
    <x v="11"/>
    <s v="UT"/>
    <n v="99999"/>
    <s v="USA"/>
    <s v="Check"/>
    <x v="15"/>
    <x v="10"/>
    <n v="34.799999999999997"/>
    <n v="69"/>
    <x v="292"/>
    <n v="240.12"/>
  </r>
  <r>
    <n v="1396"/>
    <x v="140"/>
    <x v="6"/>
    <x v="6"/>
    <s v="123 6th Street"/>
    <x v="5"/>
    <x v="5"/>
    <n v="99999"/>
    <s v="USA"/>
    <x v="4"/>
    <x v="2"/>
    <d v="2014-12-08T00:00:00"/>
    <s v="Shipping Company B"/>
    <s v="Francisco Pérez-Olaeta"/>
    <s v="123 6th Street"/>
    <x v="5"/>
    <s v="WI"/>
    <n v="99999"/>
    <s v="USA"/>
    <s v="Credit Card"/>
    <x v="0"/>
    <x v="0"/>
    <n v="14"/>
    <n v="68"/>
    <x v="293"/>
    <n v="91.391999999999996"/>
  </r>
  <r>
    <n v="1397"/>
    <x v="137"/>
    <x v="3"/>
    <x v="3"/>
    <s v="123 8th Street"/>
    <x v="2"/>
    <x v="2"/>
    <n v="99999"/>
    <s v="USA"/>
    <x v="2"/>
    <x v="2"/>
    <d v="2014-12-10T00:00:00"/>
    <s v="Shipping Company B"/>
    <s v="Elizabeth Andersen"/>
    <s v="123 8th Street"/>
    <x v="2"/>
    <s v="OR"/>
    <n v="99999"/>
    <s v="USA"/>
    <s v="Check"/>
    <x v="9"/>
    <x v="5"/>
    <n v="40"/>
    <n v="52"/>
    <x v="294"/>
    <n v="203.84"/>
  </r>
  <r>
    <n v="1398"/>
    <x v="137"/>
    <x v="3"/>
    <x v="3"/>
    <s v="123 8th Street"/>
    <x v="2"/>
    <x v="2"/>
    <n v="99999"/>
    <s v="USA"/>
    <x v="2"/>
    <x v="2"/>
    <d v="2014-12-10T00:00:00"/>
    <s v="Shipping Company B"/>
    <s v="Elizabeth Andersen"/>
    <s v="123 8th Street"/>
    <x v="2"/>
    <s v="OR"/>
    <n v="99999"/>
    <s v="USA"/>
    <s v="Check"/>
    <x v="6"/>
    <x v="2"/>
    <n v="9.1999999999999993"/>
    <n v="40"/>
    <x v="295"/>
    <n v="38.640000000000008"/>
  </r>
  <r>
    <n v="1399"/>
    <x v="147"/>
    <x v="13"/>
    <x v="13"/>
    <s v="789 25th Street"/>
    <x v="7"/>
    <x v="7"/>
    <n v="99999"/>
    <s v="USA"/>
    <x v="6"/>
    <x v="1"/>
    <d v="2014-12-27T00:00:00"/>
    <s v="Shipping Company A"/>
    <s v="John Rodman"/>
    <s v="789 25th Street"/>
    <x v="7"/>
    <s v="IL"/>
    <n v="99999"/>
    <s v="USA"/>
    <s v="Cash"/>
    <x v="21"/>
    <x v="2"/>
    <n v="10"/>
    <n v="100"/>
    <x v="116"/>
    <n v="98"/>
  </r>
  <r>
    <n v="1400"/>
    <x v="148"/>
    <x v="14"/>
    <x v="14"/>
    <s v="789 26th Street"/>
    <x v="9"/>
    <x v="9"/>
    <n v="99999"/>
    <s v="USA"/>
    <x v="5"/>
    <x v="3"/>
    <d v="2014-12-28T00:00:00"/>
    <s v="Shipping Company C"/>
    <s v="Run Liu"/>
    <s v="789 26th Street"/>
    <x v="9"/>
    <s v="FL"/>
    <n v="99999"/>
    <s v="USA"/>
    <s v="Credit Card"/>
    <x v="22"/>
    <x v="13"/>
    <n v="21.35"/>
    <n v="88"/>
    <x v="296"/>
    <n v="184.12240000000003"/>
  </r>
  <r>
    <n v="1401"/>
    <x v="148"/>
    <x v="14"/>
    <x v="14"/>
    <s v="789 26th Street"/>
    <x v="9"/>
    <x v="9"/>
    <n v="99999"/>
    <s v="USA"/>
    <x v="5"/>
    <x v="3"/>
    <d v="2014-12-28T00:00:00"/>
    <s v="Shipping Company C"/>
    <s v="Run Liu"/>
    <s v="789 26th Street"/>
    <x v="9"/>
    <s v="FL"/>
    <n v="99999"/>
    <s v="USA"/>
    <s v="Credit Card"/>
    <x v="8"/>
    <x v="4"/>
    <n v="9.65"/>
    <n v="46"/>
    <x v="256"/>
    <n v="42.614400000000003"/>
  </r>
  <r>
    <n v="1402"/>
    <x v="148"/>
    <x v="14"/>
    <x v="14"/>
    <s v="789 26th Street"/>
    <x v="9"/>
    <x v="9"/>
    <n v="99999"/>
    <s v="USA"/>
    <x v="5"/>
    <x v="3"/>
    <d v="2014-12-28T00:00:00"/>
    <s v="Shipping Company C"/>
    <s v="Run Liu"/>
    <s v="789 26th Street"/>
    <x v="9"/>
    <s v="FL"/>
    <n v="99999"/>
    <s v="USA"/>
    <s v="Credit Card"/>
    <x v="13"/>
    <x v="8"/>
    <n v="18.399999999999999"/>
    <n v="93"/>
    <x v="297"/>
    <n v="167.69759999999999"/>
  </r>
  <r>
    <n v="1403"/>
    <x v="138"/>
    <x v="4"/>
    <x v="4"/>
    <s v="789 29th Street"/>
    <x v="3"/>
    <x v="3"/>
    <n v="99999"/>
    <s v="USA"/>
    <x v="3"/>
    <x v="0"/>
    <d v="2014-12-31T00:00:00"/>
    <s v="Shipping Company B"/>
    <s v="Soo Jung Lee"/>
    <s v="789 29th Street"/>
    <x v="3"/>
    <s v="CO"/>
    <n v="99999"/>
    <s v="USA"/>
    <s v="Check"/>
    <x v="0"/>
    <x v="0"/>
    <n v="14"/>
    <n v="96"/>
    <x v="298"/>
    <n v="141.12"/>
  </r>
  <r>
    <n v="1404"/>
    <x v="140"/>
    <x v="6"/>
    <x v="6"/>
    <s v="123 6th Street"/>
    <x v="5"/>
    <x v="5"/>
    <n v="99999"/>
    <s v="USA"/>
    <x v="4"/>
    <x v="2"/>
    <d v="2014-12-08T00:00:00"/>
    <s v="Shipping Company C"/>
    <s v="Francisco Pérez-Olaeta"/>
    <s v="123 6th Street"/>
    <x v="5"/>
    <s v="WI"/>
    <n v="99999"/>
    <s v="USA"/>
    <s v="Check"/>
    <x v="7"/>
    <x v="3"/>
    <n v="12.75"/>
    <n v="12"/>
    <x v="299"/>
    <n v="16.065000000000001"/>
  </r>
  <r>
    <n v="1406"/>
    <x v="135"/>
    <x v="1"/>
    <x v="1"/>
    <s v="123 4th Street"/>
    <x v="1"/>
    <x v="1"/>
    <n v="99999"/>
    <s v="USA"/>
    <x v="1"/>
    <x v="1"/>
    <d v="2014-12-06T00:00:00"/>
    <s v="Shipping Company A"/>
    <s v="Christina Lee"/>
    <s v="123 4th Street"/>
    <x v="1"/>
    <s v="NY"/>
    <n v="99999"/>
    <s v="USA"/>
    <s v="Credit Card"/>
    <x v="23"/>
    <x v="6"/>
    <n v="81"/>
    <n v="38"/>
    <x v="300"/>
    <n v="292.41000000000003"/>
  </r>
  <r>
    <n v="1407"/>
    <x v="135"/>
    <x v="1"/>
    <x v="1"/>
    <s v="123 4th Street"/>
    <x v="1"/>
    <x v="1"/>
    <n v="99999"/>
    <s v="USA"/>
    <x v="1"/>
    <x v="1"/>
    <d v="2014-12-06T00:00:00"/>
    <s v="Shipping Company A"/>
    <s v="Christina Lee"/>
    <s v="123 4th Street"/>
    <x v="1"/>
    <s v="NY"/>
    <n v="99999"/>
    <s v="USA"/>
    <s v="Credit Card"/>
    <x v="24"/>
    <x v="14"/>
    <n v="7"/>
    <n v="42"/>
    <x v="108"/>
    <n v="29.106000000000002"/>
  </r>
  <r>
    <n v="1409"/>
    <x v="137"/>
    <x v="3"/>
    <x v="3"/>
    <s v="123 8th Street"/>
    <x v="2"/>
    <x v="2"/>
    <n v="99999"/>
    <s v="USA"/>
    <x v="2"/>
    <x v="2"/>
    <d v="2014-12-10T00:00:00"/>
    <s v="Shipping Company C"/>
    <s v="Elizabeth Andersen"/>
    <s v="123 8th Street"/>
    <x v="2"/>
    <s v="OR"/>
    <n v="99999"/>
    <s v="USA"/>
    <s v="Credit Card"/>
    <x v="15"/>
    <x v="10"/>
    <n v="34.799999999999997"/>
    <n v="100"/>
    <x v="301"/>
    <n v="344.52"/>
  </r>
  <r>
    <n v="1412"/>
    <x v="139"/>
    <x v="5"/>
    <x v="5"/>
    <s v="123 3rd Street"/>
    <x v="4"/>
    <x v="4"/>
    <n v="99999"/>
    <s v="USA"/>
    <x v="0"/>
    <x v="0"/>
    <d v="2014-12-05T00:00:00"/>
    <s v="Shipping Company B"/>
    <s v="Thomas Axerr"/>
    <s v="123 3rd Street"/>
    <x v="4"/>
    <s v="CA"/>
    <n v="99999"/>
    <s v="USA"/>
    <s v="Cash"/>
    <x v="16"/>
    <x v="7"/>
    <n v="10"/>
    <n v="89"/>
    <x v="302"/>
    <n v="87.22"/>
  </r>
  <r>
    <n v="1413"/>
    <x v="139"/>
    <x v="5"/>
    <x v="5"/>
    <s v="123 3rd Street"/>
    <x v="4"/>
    <x v="4"/>
    <n v="99999"/>
    <s v="USA"/>
    <x v="0"/>
    <x v="0"/>
    <d v="2014-12-05T00:00:00"/>
    <s v="Shipping Company B"/>
    <s v="Thomas Axerr"/>
    <s v="123 3rd Street"/>
    <x v="4"/>
    <s v="CA"/>
    <n v="99999"/>
    <s v="USA"/>
    <s v="Cash"/>
    <x v="9"/>
    <x v="5"/>
    <n v="40"/>
    <n v="12"/>
    <x v="60"/>
    <n v="46.56"/>
  </r>
  <r>
    <n v="1417"/>
    <x v="142"/>
    <x v="8"/>
    <x v="8"/>
    <s v="123 10th Street"/>
    <x v="7"/>
    <x v="7"/>
    <n v="99999"/>
    <s v="USA"/>
    <x v="6"/>
    <x v="1"/>
    <d v="2014-12-12T00:00:00"/>
    <s v="Shipping Company B"/>
    <s v="Roland Wacker"/>
    <s v="123 10th Street"/>
    <x v="7"/>
    <s v="IL"/>
    <n v="99999"/>
    <s v="USA"/>
    <s v="Credit Card"/>
    <x v="18"/>
    <x v="1"/>
    <n v="10"/>
    <n v="97"/>
    <x v="303"/>
    <n v="100.88000000000001"/>
  </r>
  <r>
    <n v="1419"/>
    <x v="142"/>
    <x v="8"/>
    <x v="8"/>
    <s v="123 10th Street"/>
    <x v="7"/>
    <x v="7"/>
    <n v="99999"/>
    <s v="USA"/>
    <x v="6"/>
    <x v="1"/>
    <m/>
    <s v="Shipping Company A"/>
    <s v="Roland Wacker"/>
    <s v="123 10th Street"/>
    <x v="7"/>
    <s v="IL"/>
    <n v="99999"/>
    <s v="USA"/>
    <m/>
    <x v="1"/>
    <x v="1"/>
    <n v="3.5"/>
    <n v="53"/>
    <x v="304"/>
    <n v="17.622499999999999"/>
  </r>
  <r>
    <n v="1420"/>
    <x v="144"/>
    <x v="10"/>
    <x v="10"/>
    <s v="123 11th Street"/>
    <x v="9"/>
    <x v="9"/>
    <n v="99999"/>
    <s v="USA"/>
    <x v="5"/>
    <x v="3"/>
    <m/>
    <s v="Shipping Company C"/>
    <s v="Peter Krschne"/>
    <s v="123 11th Street"/>
    <x v="9"/>
    <s v="FL"/>
    <n v="99999"/>
    <s v="USA"/>
    <m/>
    <x v="9"/>
    <x v="5"/>
    <n v="40"/>
    <n v="61"/>
    <x v="305"/>
    <n v="248.88"/>
  </r>
  <r>
    <n v="1421"/>
    <x v="145"/>
    <x v="11"/>
    <x v="11"/>
    <s v="123 1st Street"/>
    <x v="10"/>
    <x v="10"/>
    <n v="99999"/>
    <s v="USA"/>
    <x v="2"/>
    <x v="2"/>
    <m/>
    <s v="Shipping Company C"/>
    <s v="Anna Bedecs"/>
    <s v="123 1st Street"/>
    <x v="10"/>
    <s v="WA"/>
    <n v="99999"/>
    <s v="USA"/>
    <m/>
    <x v="13"/>
    <x v="8"/>
    <n v="18.399999999999999"/>
    <n v="45"/>
    <x v="306"/>
    <n v="81.143999999999991"/>
  </r>
  <r>
    <n v="1422"/>
    <x v="141"/>
    <x v="7"/>
    <x v="7"/>
    <s v="789 28th Street"/>
    <x v="6"/>
    <x v="6"/>
    <n v="99999"/>
    <s v="USA"/>
    <x v="5"/>
    <x v="3"/>
    <d v="2014-12-30T00:00:00"/>
    <s v="Shipping Company C"/>
    <s v="Amritansh Raghav"/>
    <s v="789 28th Street"/>
    <x v="6"/>
    <s v="TN"/>
    <n v="99999"/>
    <s v="USA"/>
    <s v="Credit Card"/>
    <x v="5"/>
    <x v="0"/>
    <n v="46"/>
    <n v="43"/>
    <x v="307"/>
    <n v="197.8"/>
  </r>
  <r>
    <n v="1423"/>
    <x v="146"/>
    <x v="12"/>
    <x v="12"/>
    <s v="123 9th Street"/>
    <x v="11"/>
    <x v="11"/>
    <n v="99999"/>
    <s v="USA"/>
    <x v="7"/>
    <x v="0"/>
    <d v="2014-12-11T00:00:00"/>
    <s v="Shipping Company A"/>
    <s v="Sven Mortensen"/>
    <s v="123 9th Street"/>
    <x v="11"/>
    <s v="UT"/>
    <n v="99999"/>
    <s v="USA"/>
    <s v="Check"/>
    <x v="8"/>
    <x v="4"/>
    <n v="9.65"/>
    <n v="18"/>
    <x v="308"/>
    <n v="16.5015"/>
  </r>
  <r>
    <n v="1424"/>
    <x v="140"/>
    <x v="6"/>
    <x v="6"/>
    <s v="123 6th Street"/>
    <x v="5"/>
    <x v="5"/>
    <n v="99999"/>
    <s v="USA"/>
    <x v="4"/>
    <x v="2"/>
    <d v="2014-12-08T00:00:00"/>
    <s v="Shipping Company B"/>
    <s v="Francisco Pérez-Olaeta"/>
    <s v="123 6th Street"/>
    <x v="5"/>
    <s v="WI"/>
    <n v="99999"/>
    <s v="USA"/>
    <s v="Credit Card"/>
    <x v="7"/>
    <x v="3"/>
    <n v="12.75"/>
    <n v="41"/>
    <x v="87"/>
    <n v="50.706750000000007"/>
  </r>
  <r>
    <n v="1425"/>
    <x v="137"/>
    <x v="3"/>
    <x v="3"/>
    <s v="123 8th Street"/>
    <x v="2"/>
    <x v="2"/>
    <n v="99999"/>
    <s v="USA"/>
    <x v="2"/>
    <x v="2"/>
    <n v="41983"/>
    <s v="Shipping Company B"/>
    <s v="Elizabeth Andersen"/>
    <s v="123 8th Street"/>
    <x v="2"/>
    <s v="OR"/>
    <n v="99999"/>
    <s v="USA"/>
    <s v="Check"/>
    <x v="7"/>
    <x v="3"/>
    <n v="12.75"/>
    <n v="19"/>
    <x v="109"/>
    <n v="23.982750000000003"/>
  </r>
  <r>
    <n v="1426"/>
    <x v="147"/>
    <x v="13"/>
    <x v="13"/>
    <s v="789 25th Street"/>
    <x v="7"/>
    <x v="7"/>
    <n v="99999"/>
    <s v="USA"/>
    <x v="6"/>
    <x v="1"/>
    <n v="42000"/>
    <s v="Shipping Company A"/>
    <s v="John Rodman"/>
    <s v="789 25th Street"/>
    <x v="7"/>
    <s v="IL"/>
    <n v="99999"/>
    <s v="USA"/>
    <s v="Cash"/>
    <x v="12"/>
    <x v="7"/>
    <n v="22"/>
    <n v="65"/>
    <x v="309"/>
    <n v="138.71"/>
  </r>
  <r>
    <n v="1427"/>
    <x v="148"/>
    <x v="14"/>
    <x v="14"/>
    <s v="789 26th Street"/>
    <x v="9"/>
    <x v="9"/>
    <n v="99999"/>
    <s v="USA"/>
    <x v="5"/>
    <x v="3"/>
    <n v="42001"/>
    <s v="Shipping Company C"/>
    <s v="Run Liu"/>
    <s v="789 26th Street"/>
    <x v="9"/>
    <s v="FL"/>
    <n v="99999"/>
    <s v="USA"/>
    <s v="Credit Card"/>
    <x v="11"/>
    <x v="6"/>
    <n v="25"/>
    <n v="13"/>
    <x v="310"/>
    <n v="32.174999999999997"/>
  </r>
  <r>
    <n v="1428"/>
    <x v="138"/>
    <x v="4"/>
    <x v="4"/>
    <s v="789 29th Street"/>
    <x v="3"/>
    <x v="3"/>
    <n v="99999"/>
    <s v="USA"/>
    <x v="3"/>
    <x v="0"/>
    <n v="42004"/>
    <s v="Shipping Company B"/>
    <s v="Soo Jung Lee"/>
    <s v="789 29th Street"/>
    <x v="3"/>
    <s v="CO"/>
    <n v="99999"/>
    <s v="USA"/>
    <s v="Check"/>
    <x v="19"/>
    <x v="12"/>
    <n v="39"/>
    <n v="54"/>
    <x v="311"/>
    <n v="214.81200000000004"/>
  </r>
  <r>
    <n v="1429"/>
    <x v="140"/>
    <x v="6"/>
    <x v="6"/>
    <s v="123 6th Street"/>
    <x v="5"/>
    <x v="5"/>
    <n v="99999"/>
    <s v="USA"/>
    <x v="4"/>
    <x v="2"/>
    <d v="2014-12-08T00:00:00"/>
    <s v="Shipping Company C"/>
    <s v="Francisco Pérez-Olaeta"/>
    <s v="123 6th Street"/>
    <x v="5"/>
    <s v="WI"/>
    <n v="99999"/>
    <s v="USA"/>
    <s v="Check"/>
    <x v="2"/>
    <x v="1"/>
    <n v="30"/>
    <n v="33"/>
    <x v="82"/>
    <n v="95.039999999999992"/>
  </r>
  <r>
    <n v="1430"/>
    <x v="140"/>
    <x v="6"/>
    <x v="6"/>
    <s v="123 6th Street"/>
    <x v="5"/>
    <x v="5"/>
    <n v="99999"/>
    <s v="USA"/>
    <x v="4"/>
    <x v="2"/>
    <d v="2014-12-08T00:00:00"/>
    <s v="Shipping Company C"/>
    <s v="Francisco Pérez-Olaeta"/>
    <s v="123 6th Street"/>
    <x v="5"/>
    <s v="WI"/>
    <n v="99999"/>
    <s v="USA"/>
    <s v="Check"/>
    <x v="3"/>
    <x v="1"/>
    <n v="53"/>
    <n v="34"/>
    <x v="312"/>
    <n v="185.60600000000002"/>
  </r>
  <r>
    <n v="1431"/>
    <x v="135"/>
    <x v="1"/>
    <x v="1"/>
    <s v="123 4th Street"/>
    <x v="1"/>
    <x v="1"/>
    <n v="99999"/>
    <s v="USA"/>
    <x v="1"/>
    <x v="1"/>
    <m/>
    <m/>
    <s v="Christina Lee"/>
    <s v="123 4th Street"/>
    <x v="1"/>
    <s v="NY"/>
    <n v="99999"/>
    <s v="USA"/>
    <m/>
    <x v="20"/>
    <x v="9"/>
    <n v="38"/>
    <n v="59"/>
    <x v="313"/>
    <n v="226.44200000000001"/>
  </r>
  <r>
    <n v="1432"/>
    <x v="139"/>
    <x v="5"/>
    <x v="5"/>
    <s v="123 3rd Street"/>
    <x v="4"/>
    <x v="4"/>
    <n v="99999"/>
    <s v="USA"/>
    <x v="0"/>
    <x v="0"/>
    <m/>
    <m/>
    <s v="Thomas Axerr"/>
    <s v="123 3rd Street"/>
    <x v="4"/>
    <s v="CA"/>
    <n v="99999"/>
    <s v="USA"/>
    <m/>
    <x v="10"/>
    <x v="0"/>
    <n v="2.99"/>
    <n v="24"/>
    <x v="314"/>
    <n v="7.10424000000000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06AB2A-F255-45EB-8862-8B95FD38985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0">
  <location ref="A3:B16" firstHeaderRow="1" firstDataRow="1" firstDataCol="1"/>
  <pivotFields count="28">
    <pivotField showAll="0"/>
    <pivotField axis="axisRow"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showAll="0"/>
    <pivotField showAll="0"/>
    <pivotField showAll="0"/>
    <pivotField showAll="0">
      <items count="9">
        <item x="1"/>
        <item x="5"/>
        <item x="3"/>
        <item x="6"/>
        <item x="0"/>
        <item x="4"/>
        <item x="2"/>
        <item x="7"/>
        <item t="default"/>
      </items>
    </pivotField>
    <pivotField showAll="0"/>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pivotField showAll="0"/>
    <pivotField showAll="0"/>
    <pivotField dataField="1" numFmtId="166" showAll="0"/>
    <pivotField numFmtId="166"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7"/>
    <field x="26"/>
    <field x="1"/>
  </rowFields>
  <rowItems count="13">
    <i>
      <x v="1"/>
    </i>
    <i>
      <x v="2"/>
    </i>
    <i>
      <x v="3"/>
    </i>
    <i>
      <x v="4"/>
    </i>
    <i>
      <x v="5"/>
    </i>
    <i>
      <x v="6"/>
    </i>
    <i>
      <x v="7"/>
    </i>
    <i>
      <x v="8"/>
    </i>
    <i>
      <x v="9"/>
    </i>
    <i>
      <x v="10"/>
    </i>
    <i>
      <x v="11"/>
    </i>
    <i>
      <x v="12"/>
    </i>
    <i t="grand">
      <x/>
    </i>
  </rowItems>
  <colItems count="1">
    <i/>
  </colItems>
  <dataFields count="1">
    <dataField name="Sum of Revenue" fld="24" baseField="0" baseItem="0" numFmtId="166"/>
  </dataFields>
  <chartFormats count="11">
    <chartFormat chart="0" format="0"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0"/>
          </reference>
        </references>
      </pivotArea>
    </chartFormat>
    <chartFormat chart="18" format="8" series="1">
      <pivotArea type="data" outline="0" fieldPosition="0">
        <references count="1">
          <reference field="4294967294" count="1" selected="0">
            <x v="0"/>
          </reference>
        </references>
      </pivotArea>
    </chartFormat>
    <chartFormat chart="41" format="6" series="1">
      <pivotArea type="data" outline="0" fieldPosition="0">
        <references count="1">
          <reference field="4294967294" count="1" selected="0">
            <x v="0"/>
          </reference>
        </references>
      </pivotArea>
    </chartFormat>
    <chartFormat chart="42" format="7" series="1">
      <pivotArea type="data" outline="0" fieldPosition="0">
        <references count="1">
          <reference field="4294967294" count="1" selected="0">
            <x v="0"/>
          </reference>
        </references>
      </pivotArea>
    </chartFormat>
    <chartFormat chart="43" format="8" series="1">
      <pivotArea type="data" outline="0" fieldPosition="0">
        <references count="1">
          <reference field="4294967294" count="1" selected="0">
            <x v="0"/>
          </reference>
        </references>
      </pivotArea>
    </chartFormat>
    <chartFormat chart="44" format="9" series="1">
      <pivotArea type="data" outline="0" fieldPosition="0">
        <references count="1">
          <reference field="4294967294" count="1" selected="0">
            <x v="0"/>
          </reference>
        </references>
      </pivotArea>
    </chartFormat>
    <chartFormat chart="45" format="10" series="1">
      <pivotArea type="data" outline="0" fieldPosition="0">
        <references count="1">
          <reference field="4294967294" count="1" selected="0">
            <x v="0"/>
          </reference>
        </references>
      </pivotArea>
    </chartFormat>
    <chartFormat chart="46"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190F71-010B-4D7E-8BC9-10F6DA57DA2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4" firstHeaderRow="1" firstDataRow="1" firstDataCol="1"/>
  <pivotFields count="28">
    <pivotField showAll="0"/>
    <pivotField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axis="axisRow" showAll="0" measureFilter="1" sortType="descending">
      <items count="16">
        <item x="14"/>
        <item x="13"/>
        <item x="2"/>
        <item x="10"/>
        <item x="8"/>
        <item x="12"/>
        <item x="3"/>
        <item x="9"/>
        <item x="6"/>
        <item x="1"/>
        <item x="4"/>
        <item x="5"/>
        <item x="7"/>
        <item x="0"/>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9">
        <item x="1"/>
        <item x="5"/>
        <item x="3"/>
        <item x="6"/>
        <item x="0"/>
        <item x="4"/>
        <item x="2"/>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6" showAll="0"/>
    <pivotField numFmtId="166"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11">
    <i>
      <x v="9"/>
    </i>
    <i>
      <x v="6"/>
    </i>
    <i>
      <x v="12"/>
    </i>
    <i>
      <x v="8"/>
    </i>
    <i>
      <x v="14"/>
    </i>
    <i>
      <x v="5"/>
    </i>
    <i>
      <x v="4"/>
    </i>
    <i>
      <x/>
    </i>
    <i>
      <x v="11"/>
    </i>
    <i>
      <x v="3"/>
    </i>
    <i t="grand">
      <x/>
    </i>
  </rowItems>
  <colItems count="1">
    <i/>
  </colItems>
  <dataFields count="1">
    <dataField name="Sum of Revenue" fld="24" baseField="0" baseItem="0" numFmtId="166"/>
  </dataFields>
  <chartFormats count="22">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3" count="1" selected="0">
            <x v="9"/>
          </reference>
        </references>
      </pivotArea>
    </chartFormat>
    <chartFormat chart="4" format="2">
      <pivotArea type="data" outline="0" fieldPosition="0">
        <references count="2">
          <reference field="4294967294" count="1" selected="0">
            <x v="0"/>
          </reference>
          <reference field="3" count="1" selected="0">
            <x v="6"/>
          </reference>
        </references>
      </pivotArea>
    </chartFormat>
    <chartFormat chart="4" format="3">
      <pivotArea type="data" outline="0" fieldPosition="0">
        <references count="2">
          <reference field="4294967294" count="1" selected="0">
            <x v="0"/>
          </reference>
          <reference field="3" count="1" selected="0">
            <x v="12"/>
          </reference>
        </references>
      </pivotArea>
    </chartFormat>
    <chartFormat chart="4" format="4">
      <pivotArea type="data" outline="0" fieldPosition="0">
        <references count="2">
          <reference field="4294967294" count="1" selected="0">
            <x v="0"/>
          </reference>
          <reference field="3" count="1" selected="0">
            <x v="8"/>
          </reference>
        </references>
      </pivotArea>
    </chartFormat>
    <chartFormat chart="4" format="5">
      <pivotArea type="data" outline="0" fieldPosition="0">
        <references count="2">
          <reference field="4294967294" count="1" selected="0">
            <x v="0"/>
          </reference>
          <reference field="3" count="1" selected="0">
            <x v="14"/>
          </reference>
        </references>
      </pivotArea>
    </chartFormat>
    <chartFormat chart="4" format="6">
      <pivotArea type="data" outline="0" fieldPosition="0">
        <references count="2">
          <reference field="4294967294" count="1" selected="0">
            <x v="0"/>
          </reference>
          <reference field="3" count="1" selected="0">
            <x v="5"/>
          </reference>
        </references>
      </pivotArea>
    </chartFormat>
    <chartFormat chart="4" format="7">
      <pivotArea type="data" outline="0" fieldPosition="0">
        <references count="2">
          <reference field="4294967294" count="1" selected="0">
            <x v="0"/>
          </reference>
          <reference field="3" count="1" selected="0">
            <x v="4"/>
          </reference>
        </references>
      </pivotArea>
    </chartFormat>
    <chartFormat chart="4" format="8">
      <pivotArea type="data" outline="0" fieldPosition="0">
        <references count="2">
          <reference field="4294967294" count="1" selected="0">
            <x v="0"/>
          </reference>
          <reference field="3" count="1" selected="0">
            <x v="0"/>
          </reference>
        </references>
      </pivotArea>
    </chartFormat>
    <chartFormat chart="4" format="9">
      <pivotArea type="data" outline="0" fieldPosition="0">
        <references count="2">
          <reference field="4294967294" count="1" selected="0">
            <x v="0"/>
          </reference>
          <reference field="3" count="1" selected="0">
            <x v="11"/>
          </reference>
        </references>
      </pivotArea>
    </chartFormat>
    <chartFormat chart="4" format="10">
      <pivotArea type="data" outline="0" fieldPosition="0">
        <references count="2">
          <reference field="4294967294" count="1" selected="0">
            <x v="0"/>
          </reference>
          <reference field="3" count="1" selected="0">
            <x v="3"/>
          </reference>
        </references>
      </pivotArea>
    </chartFormat>
    <chartFormat chart="11" format="44" series="1">
      <pivotArea type="data" outline="0" fieldPosition="0">
        <references count="1">
          <reference field="4294967294" count="1" selected="0">
            <x v="0"/>
          </reference>
        </references>
      </pivotArea>
    </chartFormat>
    <chartFormat chart="11" format="45">
      <pivotArea type="data" outline="0" fieldPosition="0">
        <references count="2">
          <reference field="4294967294" count="1" selected="0">
            <x v="0"/>
          </reference>
          <reference field="3" count="1" selected="0">
            <x v="9"/>
          </reference>
        </references>
      </pivotArea>
    </chartFormat>
    <chartFormat chart="11" format="46">
      <pivotArea type="data" outline="0" fieldPosition="0">
        <references count="2">
          <reference field="4294967294" count="1" selected="0">
            <x v="0"/>
          </reference>
          <reference field="3" count="1" selected="0">
            <x v="6"/>
          </reference>
        </references>
      </pivotArea>
    </chartFormat>
    <chartFormat chart="11" format="47">
      <pivotArea type="data" outline="0" fieldPosition="0">
        <references count="2">
          <reference field="4294967294" count="1" selected="0">
            <x v="0"/>
          </reference>
          <reference field="3" count="1" selected="0">
            <x v="12"/>
          </reference>
        </references>
      </pivotArea>
    </chartFormat>
    <chartFormat chart="11" format="48">
      <pivotArea type="data" outline="0" fieldPosition="0">
        <references count="2">
          <reference field="4294967294" count="1" selected="0">
            <x v="0"/>
          </reference>
          <reference field="3" count="1" selected="0">
            <x v="8"/>
          </reference>
        </references>
      </pivotArea>
    </chartFormat>
    <chartFormat chart="11" format="49">
      <pivotArea type="data" outline="0" fieldPosition="0">
        <references count="2">
          <reference field="4294967294" count="1" selected="0">
            <x v="0"/>
          </reference>
          <reference field="3" count="1" selected="0">
            <x v="14"/>
          </reference>
        </references>
      </pivotArea>
    </chartFormat>
    <chartFormat chart="11" format="50">
      <pivotArea type="data" outline="0" fieldPosition="0">
        <references count="2">
          <reference field="4294967294" count="1" selected="0">
            <x v="0"/>
          </reference>
          <reference field="3" count="1" selected="0">
            <x v="5"/>
          </reference>
        </references>
      </pivotArea>
    </chartFormat>
    <chartFormat chart="11" format="51">
      <pivotArea type="data" outline="0" fieldPosition="0">
        <references count="2">
          <reference field="4294967294" count="1" selected="0">
            <x v="0"/>
          </reference>
          <reference field="3" count="1" selected="0">
            <x v="4"/>
          </reference>
        </references>
      </pivotArea>
    </chartFormat>
    <chartFormat chart="11" format="52">
      <pivotArea type="data" outline="0" fieldPosition="0">
        <references count="2">
          <reference field="4294967294" count="1" selected="0">
            <x v="0"/>
          </reference>
          <reference field="3" count="1" selected="0">
            <x v="0"/>
          </reference>
        </references>
      </pivotArea>
    </chartFormat>
    <chartFormat chart="11" format="53">
      <pivotArea type="data" outline="0" fieldPosition="0">
        <references count="2">
          <reference field="4294967294" count="1" selected="0">
            <x v="0"/>
          </reference>
          <reference field="3" count="1" selected="0">
            <x v="11"/>
          </reference>
        </references>
      </pivotArea>
    </chartFormat>
    <chartFormat chart="11" format="5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3244A6-4E3A-4CD9-97EC-EBD216C277F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12" firstHeaderRow="1" firstDataRow="1" firstDataCol="1"/>
  <pivotFields count="28">
    <pivotField showAll="0"/>
    <pivotField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measureFilter="1" sortType="a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axis="axisRow" showAll="0" sortType="a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pivotField showAll="0"/>
    <pivotField showAll="0"/>
    <pivotField dataField="1" numFmtId="166" showAll="0"/>
    <pivotField numFmtId="166"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9">
    <i>
      <x v="2"/>
    </i>
    <i>
      <x v="7"/>
    </i>
    <i>
      <x v="5"/>
    </i>
    <i>
      <x v="3"/>
    </i>
    <i>
      <x v="4"/>
    </i>
    <i>
      <x/>
    </i>
    <i>
      <x v="1"/>
    </i>
    <i>
      <x v="6"/>
    </i>
    <i t="grand">
      <x/>
    </i>
  </rowItems>
  <colItems count="1">
    <i/>
  </colItems>
  <dataFields count="1">
    <dataField name="Sum of Revenue" fld="24" baseField="0" baseItem="0" numFmtId="166"/>
  </dataFields>
  <chartFormats count="19">
    <chartFormat chart="4" format="0"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0"/>
          </reference>
        </references>
      </pivotArea>
    </chartFormat>
    <chartFormat chart="5" format="22">
      <pivotArea type="data" outline="0" fieldPosition="0">
        <references count="2">
          <reference field="4294967294" count="1" selected="0">
            <x v="0"/>
          </reference>
          <reference field="9" count="1" selected="0">
            <x v="6"/>
          </reference>
        </references>
      </pivotArea>
    </chartFormat>
    <chartFormat chart="5" format="23">
      <pivotArea type="data" outline="0" fieldPosition="0">
        <references count="2">
          <reference field="4294967294" count="1" selected="0">
            <x v="0"/>
          </reference>
          <reference field="9" count="1" selected="0">
            <x v="1"/>
          </reference>
        </references>
      </pivotArea>
    </chartFormat>
    <chartFormat chart="5" format="24">
      <pivotArea type="data" outline="0" fieldPosition="0">
        <references count="2">
          <reference field="4294967294" count="1" selected="0">
            <x v="0"/>
          </reference>
          <reference field="9" count="1" selected="0">
            <x v="0"/>
          </reference>
        </references>
      </pivotArea>
    </chartFormat>
    <chartFormat chart="5" format="25">
      <pivotArea type="data" outline="0" fieldPosition="0">
        <references count="2">
          <reference field="4294967294" count="1" selected="0">
            <x v="0"/>
          </reference>
          <reference field="9" count="1" selected="0">
            <x v="4"/>
          </reference>
        </references>
      </pivotArea>
    </chartFormat>
    <chartFormat chart="5" format="26">
      <pivotArea type="data" outline="0" fieldPosition="0">
        <references count="2">
          <reference field="4294967294" count="1" selected="0">
            <x v="0"/>
          </reference>
          <reference field="9" count="1" selected="0">
            <x v="3"/>
          </reference>
        </references>
      </pivotArea>
    </chartFormat>
    <chartFormat chart="5" format="27">
      <pivotArea type="data" outline="0" fieldPosition="0">
        <references count="2">
          <reference field="4294967294" count="1" selected="0">
            <x v="0"/>
          </reference>
          <reference field="9" count="1" selected="0">
            <x v="5"/>
          </reference>
        </references>
      </pivotArea>
    </chartFormat>
    <chartFormat chart="5" format="28">
      <pivotArea type="data" outline="0" fieldPosition="0">
        <references count="2">
          <reference field="4294967294" count="1" selected="0">
            <x v="0"/>
          </reference>
          <reference field="9" count="1" selected="0">
            <x v="7"/>
          </reference>
        </references>
      </pivotArea>
    </chartFormat>
    <chartFormat chart="5" format="29">
      <pivotArea type="data" outline="0" fieldPosition="0">
        <references count="2">
          <reference field="4294967294" count="1" selected="0">
            <x v="0"/>
          </reference>
          <reference field="9" count="1" selected="0">
            <x v="2"/>
          </reference>
        </references>
      </pivotArea>
    </chartFormat>
    <chartFormat chart="23" format="93" series="1">
      <pivotArea type="data" outline="0" fieldPosition="0">
        <references count="1">
          <reference field="4294967294" count="1" selected="0">
            <x v="0"/>
          </reference>
        </references>
      </pivotArea>
    </chartFormat>
    <chartFormat chart="23" format="94">
      <pivotArea type="data" outline="0" fieldPosition="0">
        <references count="2">
          <reference field="4294967294" count="1" selected="0">
            <x v="0"/>
          </reference>
          <reference field="9" count="1" selected="0">
            <x v="2"/>
          </reference>
        </references>
      </pivotArea>
    </chartFormat>
    <chartFormat chart="23" format="95">
      <pivotArea type="data" outline="0" fieldPosition="0">
        <references count="2">
          <reference field="4294967294" count="1" selected="0">
            <x v="0"/>
          </reference>
          <reference field="9" count="1" selected="0">
            <x v="7"/>
          </reference>
        </references>
      </pivotArea>
    </chartFormat>
    <chartFormat chart="23" format="96">
      <pivotArea type="data" outline="0" fieldPosition="0">
        <references count="2">
          <reference field="4294967294" count="1" selected="0">
            <x v="0"/>
          </reference>
          <reference field="9" count="1" selected="0">
            <x v="5"/>
          </reference>
        </references>
      </pivotArea>
    </chartFormat>
    <chartFormat chart="23" format="97">
      <pivotArea type="data" outline="0" fieldPosition="0">
        <references count="2">
          <reference field="4294967294" count="1" selected="0">
            <x v="0"/>
          </reference>
          <reference field="9" count="1" selected="0">
            <x v="3"/>
          </reference>
        </references>
      </pivotArea>
    </chartFormat>
    <chartFormat chart="23" format="98">
      <pivotArea type="data" outline="0" fieldPosition="0">
        <references count="2">
          <reference field="4294967294" count="1" selected="0">
            <x v="0"/>
          </reference>
          <reference field="9" count="1" selected="0">
            <x v="4"/>
          </reference>
        </references>
      </pivotArea>
    </chartFormat>
    <chartFormat chart="23" format="99">
      <pivotArea type="data" outline="0" fieldPosition="0">
        <references count="2">
          <reference field="4294967294" count="1" selected="0">
            <x v="0"/>
          </reference>
          <reference field="9" count="1" selected="0">
            <x v="0"/>
          </reference>
        </references>
      </pivotArea>
    </chartFormat>
    <chartFormat chart="23" format="100">
      <pivotArea type="data" outline="0" fieldPosition="0">
        <references count="2">
          <reference field="4294967294" count="1" selected="0">
            <x v="0"/>
          </reference>
          <reference field="9" count="1" selected="0">
            <x v="1"/>
          </reference>
        </references>
      </pivotArea>
    </chartFormat>
    <chartFormat chart="23" format="101">
      <pivotArea type="data" outline="0" fieldPosition="0">
        <references count="2">
          <reference field="4294967294" count="1" selected="0">
            <x v="0"/>
          </reference>
          <reference field="9" count="1" selected="0">
            <x v="6"/>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6293F7-8F03-45FA-821B-8FE42A5795E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8" firstHeaderRow="1" firstDataRow="1" firstDataCol="1"/>
  <pivotFields count="28">
    <pivotField showAll="0"/>
    <pivotField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measureFilter="1" sortType="a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sortType="a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axis="axisRow" showAll="0" sortType="a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pivotField showAll="0"/>
    <pivotField showAll="0"/>
    <pivotField dataField="1" numFmtId="166" showAll="0"/>
    <pivotField numFmtId="166"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5">
    <i>
      <x v="3"/>
    </i>
    <i>
      <x v="2"/>
    </i>
    <i>
      <x/>
    </i>
    <i>
      <x v="1"/>
    </i>
    <i t="grand">
      <x/>
    </i>
  </rowItems>
  <colItems count="1">
    <i/>
  </colItems>
  <dataFields count="1">
    <dataField name="Sum of Revenue" fld="24" showDataAs="percentOfTotal" baseField="0" baseItem="0" numFmtId="10"/>
  </dataFields>
  <chartFormats count="12">
    <chartFormat chart="4" format="0"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0"/>
          </reference>
        </references>
      </pivotArea>
    </chartFormat>
    <chartFormat chart="6" format="30" series="1">
      <pivotArea type="data" outline="0" fieldPosition="0">
        <references count="1">
          <reference field="4294967294" count="1" selected="0">
            <x v="0"/>
          </reference>
        </references>
      </pivotArea>
    </chartFormat>
    <chartFormat chart="6" format="39">
      <pivotArea type="data" outline="0" fieldPosition="0">
        <references count="2">
          <reference field="4294967294" count="1" selected="0">
            <x v="0"/>
          </reference>
          <reference field="10" count="1" selected="0">
            <x v="3"/>
          </reference>
        </references>
      </pivotArea>
    </chartFormat>
    <chartFormat chart="6" format="40">
      <pivotArea type="data" outline="0" fieldPosition="0">
        <references count="2">
          <reference field="4294967294" count="1" selected="0">
            <x v="0"/>
          </reference>
          <reference field="10" count="1" selected="0">
            <x v="2"/>
          </reference>
        </references>
      </pivotArea>
    </chartFormat>
    <chartFormat chart="6" format="41">
      <pivotArea type="data" outline="0" fieldPosition="0">
        <references count="2">
          <reference field="4294967294" count="1" selected="0">
            <x v="0"/>
          </reference>
          <reference field="10" count="1" selected="0">
            <x v="1"/>
          </reference>
        </references>
      </pivotArea>
    </chartFormat>
    <chartFormat chart="6" format="42">
      <pivotArea type="data" outline="0" fieldPosition="0">
        <references count="2">
          <reference field="4294967294" count="1" selected="0">
            <x v="0"/>
          </reference>
          <reference field="10" count="1" selected="0">
            <x v="0"/>
          </reference>
        </references>
      </pivotArea>
    </chartFormat>
    <chartFormat chart="24" format="68" series="1">
      <pivotArea type="data" outline="0" fieldPosition="0">
        <references count="1">
          <reference field="4294967294" count="1" selected="0">
            <x v="0"/>
          </reference>
        </references>
      </pivotArea>
    </chartFormat>
    <chartFormat chart="24" format="69">
      <pivotArea type="data" outline="0" fieldPosition="0">
        <references count="2">
          <reference field="4294967294" count="1" selected="0">
            <x v="0"/>
          </reference>
          <reference field="10" count="1" selected="0">
            <x v="3"/>
          </reference>
        </references>
      </pivotArea>
    </chartFormat>
    <chartFormat chart="24" format="70">
      <pivotArea type="data" outline="0" fieldPosition="0">
        <references count="2">
          <reference field="4294967294" count="1" selected="0">
            <x v="0"/>
          </reference>
          <reference field="10" count="1" selected="0">
            <x v="2"/>
          </reference>
        </references>
      </pivotArea>
    </chartFormat>
    <chartFormat chart="24" format="71">
      <pivotArea type="data" outline="0" fieldPosition="0">
        <references count="2">
          <reference field="4294967294" count="1" selected="0">
            <x v="0"/>
          </reference>
          <reference field="10" count="1" selected="0">
            <x v="0"/>
          </reference>
        </references>
      </pivotArea>
    </chartFormat>
    <chartFormat chart="24" format="72">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43882A-B78C-47F5-B74E-129E86F82D4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9" firstHeaderRow="1" firstDataRow="1" firstDataCol="1"/>
  <pivotFields count="28">
    <pivotField showAll="0"/>
    <pivotField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measureFilter="1" sortType="a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sortType="a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sortType="a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axis="axisRow" showAll="0" measureFilter="1" sortType="descending">
      <items count="17">
        <item x="2"/>
        <item x="0"/>
        <item x="3"/>
        <item x="8"/>
        <item x="7"/>
        <item x="10"/>
        <item x="1"/>
        <item x="12"/>
        <item x="14"/>
        <item x="6"/>
        <item x="13"/>
        <item x="9"/>
        <item x="5"/>
        <item m="1" x="15"/>
        <item x="4"/>
        <item x="11"/>
        <item t="default"/>
      </items>
      <autoSortScope>
        <pivotArea dataOnly="0" outline="0" fieldPosition="0">
          <references count="1">
            <reference field="4294967294" count="1" selected="0">
              <x v="0"/>
            </reference>
          </references>
        </pivotArea>
      </autoSortScope>
    </pivotField>
    <pivotField showAll="0"/>
    <pivotField showAll="0"/>
    <pivotField dataField="1" numFmtId="166" showAll="0"/>
    <pivotField numFmtId="166"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1"/>
  </rowFields>
  <rowItems count="6">
    <i>
      <x v="1"/>
    </i>
    <i>
      <x v="12"/>
    </i>
    <i>
      <x v="9"/>
    </i>
    <i>
      <x v="5"/>
    </i>
    <i>
      <x v="6"/>
    </i>
    <i t="grand">
      <x/>
    </i>
  </rowItems>
  <colItems count="1">
    <i/>
  </colItems>
  <dataFields count="1">
    <dataField name="Sum of Revenue" fld="24" baseField="0" baseItem="0" numFmtId="166"/>
  </dataFields>
  <chartFormats count="13">
    <chartFormat chart="4" format="0"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0"/>
          </reference>
        </references>
      </pivotArea>
    </chartFormat>
    <chartFormat chart="6" format="30" series="1">
      <pivotArea type="data" outline="0" fieldPosition="0">
        <references count="1">
          <reference field="4294967294" count="1" selected="0">
            <x v="0"/>
          </reference>
        </references>
      </pivotArea>
    </chartFormat>
    <chartFormat chart="9" format="43" series="1">
      <pivotArea type="data" outline="0" fieldPosition="0">
        <references count="1">
          <reference field="4294967294" count="1" selected="0">
            <x v="0"/>
          </reference>
        </references>
      </pivotArea>
    </chartFormat>
    <chartFormat chart="9" format="48">
      <pivotArea type="data" outline="0" fieldPosition="0">
        <references count="2">
          <reference field="4294967294" count="1" selected="0">
            <x v="0"/>
          </reference>
          <reference field="21" count="1" selected="0">
            <x v="12"/>
          </reference>
        </references>
      </pivotArea>
    </chartFormat>
    <chartFormat chart="9" format="49">
      <pivotArea type="data" outline="0" fieldPosition="0">
        <references count="2">
          <reference field="4294967294" count="1" selected="0">
            <x v="0"/>
          </reference>
          <reference field="21" count="1" selected="0">
            <x v="9"/>
          </reference>
        </references>
      </pivotArea>
    </chartFormat>
    <chartFormat chart="9" format="50">
      <pivotArea type="data" outline="0" fieldPosition="0">
        <references count="2">
          <reference field="4294967294" count="1" selected="0">
            <x v="0"/>
          </reference>
          <reference field="21" count="1" selected="0">
            <x v="5"/>
          </reference>
        </references>
      </pivotArea>
    </chartFormat>
    <chartFormat chart="9" format="51">
      <pivotArea type="data" outline="0" fieldPosition="0">
        <references count="2">
          <reference field="4294967294" count="1" selected="0">
            <x v="0"/>
          </reference>
          <reference field="21" count="1" selected="0">
            <x v="6"/>
          </reference>
        </references>
      </pivotArea>
    </chartFormat>
    <chartFormat chart="25" format="77" series="1">
      <pivotArea type="data" outline="0" fieldPosition="0">
        <references count="1">
          <reference field="4294967294" count="1" selected="0">
            <x v="0"/>
          </reference>
        </references>
      </pivotArea>
    </chartFormat>
    <chartFormat chart="25" format="78">
      <pivotArea type="data" outline="0" fieldPosition="0">
        <references count="2">
          <reference field="4294967294" count="1" selected="0">
            <x v="0"/>
          </reference>
          <reference field="21" count="1" selected="0">
            <x v="12"/>
          </reference>
        </references>
      </pivotArea>
    </chartFormat>
    <chartFormat chart="25" format="79">
      <pivotArea type="data" outline="0" fieldPosition="0">
        <references count="2">
          <reference field="4294967294" count="1" selected="0">
            <x v="0"/>
          </reference>
          <reference field="21" count="1" selected="0">
            <x v="9"/>
          </reference>
        </references>
      </pivotArea>
    </chartFormat>
    <chartFormat chart="25" format="80">
      <pivotArea type="data" outline="0" fieldPosition="0">
        <references count="2">
          <reference field="4294967294" count="1" selected="0">
            <x v="0"/>
          </reference>
          <reference field="21" count="1" selected="0">
            <x v="5"/>
          </reference>
        </references>
      </pivotArea>
    </chartFormat>
    <chartFormat chart="25" format="81">
      <pivotArea type="data" outline="0" fieldPosition="0">
        <references count="2">
          <reference field="4294967294" count="1" selected="0">
            <x v="0"/>
          </reference>
          <reference field="21" count="1" selected="0">
            <x v="6"/>
          </reference>
        </references>
      </pivotArea>
    </chartFormat>
  </chartFormats>
  <pivotTableStyleInfo name="PivotStyleLight16" showRowHeaders="1" showColHeaders="1" showRowStripes="0" showColStripes="0" showLastColumn="1"/>
  <filters count="2">
    <filter fld="3" type="count" evalOrder="-1" id="1" iMeasureFld="0">
      <autoFilter ref="A1">
        <filterColumn colId="0">
          <top10 val="10" filterVal="10"/>
        </filterColumn>
      </autoFilter>
    </filter>
    <filter fld="2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7BFCB4-8D8E-4A94-96AA-4C7A41A0BCC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10" firstHeaderRow="1" firstDataRow="1" firstDataCol="1"/>
  <pivotFields count="28">
    <pivotField showAll="0"/>
    <pivotField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measureFilter="1" sortType="a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sortType="a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sortType="a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axis="axisRow" showAll="0" measureFilter="1" sortType="descending">
      <items count="13">
        <item x="8"/>
        <item x="7"/>
        <item x="3"/>
        <item x="0"/>
        <item x="4"/>
        <item x="6"/>
        <item x="9"/>
        <item x="5"/>
        <item x="1"/>
        <item x="2"/>
        <item x="11"/>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dataField="1" numFmtId="166" showAll="0"/>
    <pivotField numFmtId="166"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5"/>
  </rowFields>
  <rowItems count="7">
    <i>
      <x v="8"/>
    </i>
    <i>
      <x v="9"/>
    </i>
    <i>
      <x v="6"/>
    </i>
    <i>
      <x v="5"/>
    </i>
    <i>
      <x v="1"/>
    </i>
    <i>
      <x v="7"/>
    </i>
    <i t="grand">
      <x/>
    </i>
  </rowItems>
  <colItems count="1">
    <i/>
  </colItems>
  <dataFields count="1">
    <dataField name="Sum of Revenue" fld="24" baseField="0" baseItem="0" numFmtId="166"/>
  </dataFields>
  <chartFormats count="13">
    <chartFormat chart="4" format="0"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0"/>
          </reference>
        </references>
      </pivotArea>
    </chartFormat>
    <chartFormat chart="6" format="30" series="1">
      <pivotArea type="data" outline="0" fieldPosition="0">
        <references count="1">
          <reference field="4294967294" count="1" selected="0">
            <x v="0"/>
          </reference>
        </references>
      </pivotArea>
    </chartFormat>
    <chartFormat chart="9" format="43" series="1">
      <pivotArea type="data" outline="0" fieldPosition="0">
        <references count="1">
          <reference field="4294967294" count="1" selected="0">
            <x v="0"/>
          </reference>
        </references>
      </pivotArea>
    </chartFormat>
    <chartFormat chart="12" format="52" series="1">
      <pivotArea type="data" outline="0" fieldPosition="0">
        <references count="1">
          <reference field="4294967294" count="1" selected="0">
            <x v="0"/>
          </reference>
        </references>
      </pivotArea>
    </chartFormat>
    <chartFormat chart="13" format="57" series="1">
      <pivotArea type="data" outline="0" fieldPosition="0">
        <references count="1">
          <reference field="4294967294" count="1" selected="0">
            <x v="0"/>
          </reference>
        </references>
      </pivotArea>
    </chartFormat>
    <chartFormat chart="14" format="52" series="1">
      <pivotArea type="data" outline="0" fieldPosition="0">
        <references count="1">
          <reference field="4294967294" count="1" selected="0">
            <x v="0"/>
          </reference>
        </references>
      </pivotArea>
    </chartFormat>
    <chartFormat chart="14" format="57">
      <pivotArea type="data" outline="0" fieldPosition="0">
        <references count="2">
          <reference field="4294967294" count="1" selected="0">
            <x v="0"/>
          </reference>
          <reference field="15" count="1" selected="0">
            <x v="9"/>
          </reference>
        </references>
      </pivotArea>
    </chartFormat>
    <chartFormat chart="14" format="58">
      <pivotArea type="data" outline="0" fieldPosition="0">
        <references count="2">
          <reference field="4294967294" count="1" selected="0">
            <x v="0"/>
          </reference>
          <reference field="15" count="1" selected="0">
            <x v="6"/>
          </reference>
        </references>
      </pivotArea>
    </chartFormat>
    <chartFormat chart="14" format="59">
      <pivotArea type="data" outline="0" fieldPosition="0">
        <references count="2">
          <reference field="4294967294" count="1" selected="0">
            <x v="0"/>
          </reference>
          <reference field="15" count="1" selected="0">
            <x v="5"/>
          </reference>
        </references>
      </pivotArea>
    </chartFormat>
    <chartFormat chart="14" format="60">
      <pivotArea type="data" outline="0" fieldPosition="0">
        <references count="2">
          <reference field="4294967294" count="1" selected="0">
            <x v="0"/>
          </reference>
          <reference field="15" count="1" selected="0">
            <x v="1"/>
          </reference>
        </references>
      </pivotArea>
    </chartFormat>
    <chartFormat chart="14" format="61">
      <pivotArea type="data" outline="0" fieldPosition="0">
        <references count="2">
          <reference field="4294967294" count="1" selected="0">
            <x v="0"/>
          </reference>
          <reference field="15" count="1" selected="0">
            <x v="7"/>
          </reference>
        </references>
      </pivotArea>
    </chartFormat>
    <chartFormat chart="14" format="62">
      <pivotArea type="data" outline="0" fieldPosition="0">
        <references count="2">
          <reference field="4294967294" count="1" selected="0">
            <x v="0"/>
          </reference>
          <reference field="15" count="1" selected="0">
            <x v="8"/>
          </reference>
        </references>
      </pivotArea>
    </chartFormat>
  </chartFormats>
  <pivotTableStyleInfo name="PivotStyleLight16" showRowHeaders="1" showColHeaders="1" showRowStripes="0" showColStripes="0" showLastColumn="1"/>
  <filters count="3">
    <filter fld="3" type="count" evalOrder="-1" id="1" iMeasureFld="0">
      <autoFilter ref="A1">
        <filterColumn colId="0">
          <top10 val="10" filterVal="10"/>
        </filterColumn>
      </autoFilter>
    </filter>
    <filter fld="21" type="count" evalOrder="-1" id="3" iMeasureFld="0">
      <autoFilter ref="A1">
        <filterColumn colId="0">
          <top10 val="5" filterVal="5"/>
        </filterColumn>
      </autoFilter>
    </filter>
    <filter fld="15" type="count" evalOrder="-1" id="4"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168BF60-142C-4271-B45F-0218B6E7B6E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9" firstHeaderRow="1" firstDataRow="1" firstDataCol="1"/>
  <pivotFields count="28">
    <pivotField showAll="0"/>
    <pivotField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measureFilter="1" sortType="ascending">
      <autoSortScope>
        <pivotArea dataOnly="0" outline="0" fieldPosition="0">
          <references count="1">
            <reference field="4294967294" count="1" selected="0">
              <x v="0"/>
            </reference>
          </references>
        </pivotArea>
      </autoSortScope>
    </pivotField>
    <pivotField showAll="0"/>
    <pivotField axis="axisRow" showAll="0" measureFilter="1" sortType="ascending">
      <items count="13">
        <item x="8"/>
        <item x="7"/>
        <item x="3"/>
        <item x="0"/>
        <item x="4"/>
        <item x="6"/>
        <item x="9"/>
        <item x="5"/>
        <item x="1"/>
        <item x="2"/>
        <item x="11"/>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sortType="a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sortType="a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dataField="1" numFmtId="166" showAll="0"/>
    <pivotField numFmtId="166"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6">
    <i>
      <x v="1"/>
    </i>
    <i>
      <x v="5"/>
    </i>
    <i>
      <x v="6"/>
    </i>
    <i>
      <x v="9"/>
    </i>
    <i>
      <x v="8"/>
    </i>
    <i t="grand">
      <x/>
    </i>
  </rowItems>
  <colItems count="1">
    <i/>
  </colItems>
  <dataFields count="1">
    <dataField name="Sum of Revenue" fld="24" baseField="0" baseItem="0" numFmtId="166"/>
  </dataFields>
  <chartFormats count="13">
    <chartFormat chart="4" format="0"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0"/>
          </reference>
        </references>
      </pivotArea>
    </chartFormat>
    <chartFormat chart="6" format="30" series="1">
      <pivotArea type="data" outline="0" fieldPosition="0">
        <references count="1">
          <reference field="4294967294" count="1" selected="0">
            <x v="0"/>
          </reference>
        </references>
      </pivotArea>
    </chartFormat>
    <chartFormat chart="9" format="43" series="1">
      <pivotArea type="data" outline="0" fieldPosition="0">
        <references count="1">
          <reference field="4294967294" count="1" selected="0">
            <x v="0"/>
          </reference>
        </references>
      </pivotArea>
    </chartFormat>
    <chartFormat chart="12" format="52" series="1">
      <pivotArea type="data" outline="0" fieldPosition="0">
        <references count="1">
          <reference field="4294967294" count="1" selected="0">
            <x v="0"/>
          </reference>
        </references>
      </pivotArea>
    </chartFormat>
    <chartFormat chart="13" format="57" series="1">
      <pivotArea type="data" outline="0" fieldPosition="0">
        <references count="1">
          <reference field="4294967294" count="1" selected="0">
            <x v="0"/>
          </reference>
        </references>
      </pivotArea>
    </chartFormat>
    <chartFormat chart="14" format="52" series="1">
      <pivotArea type="data" outline="0" fieldPosition="0">
        <references count="1">
          <reference field="4294967294" count="1" selected="0">
            <x v="0"/>
          </reference>
        </references>
      </pivotArea>
    </chartFormat>
    <chartFormat chart="15" format="57" series="1">
      <pivotArea type="data" outline="0" fieldPosition="0">
        <references count="1">
          <reference field="4294967294" count="1" selected="0">
            <x v="0"/>
          </reference>
        </references>
      </pivotArea>
    </chartFormat>
    <chartFormat chart="15" format="62">
      <pivotArea type="data" outline="0" fieldPosition="0">
        <references count="2">
          <reference field="4294967294" count="1" selected="0">
            <x v="0"/>
          </reference>
          <reference field="5" count="1" selected="0">
            <x v="8"/>
          </reference>
        </references>
      </pivotArea>
    </chartFormat>
    <chartFormat chart="15" format="63">
      <pivotArea type="data" outline="0" fieldPosition="0">
        <references count="2">
          <reference field="4294967294" count="1" selected="0">
            <x v="0"/>
          </reference>
          <reference field="5" count="1" selected="0">
            <x v="9"/>
          </reference>
        </references>
      </pivotArea>
    </chartFormat>
    <chartFormat chart="15" format="64">
      <pivotArea type="data" outline="0" fieldPosition="0">
        <references count="2">
          <reference field="4294967294" count="1" selected="0">
            <x v="0"/>
          </reference>
          <reference field="5" count="1" selected="0">
            <x v="6"/>
          </reference>
        </references>
      </pivotArea>
    </chartFormat>
    <chartFormat chart="15" format="65">
      <pivotArea type="data" outline="0" fieldPosition="0">
        <references count="2">
          <reference field="4294967294" count="1" selected="0">
            <x v="0"/>
          </reference>
          <reference field="5" count="1" selected="0">
            <x v="5"/>
          </reference>
        </references>
      </pivotArea>
    </chartFormat>
    <chartFormat chart="15" format="6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filters count="3">
    <filter fld="3" type="count" evalOrder="-1" id="1" iMeasureFld="0">
      <autoFilter ref="A1">
        <filterColumn colId="0">
          <top10 val="10" filterVal="10"/>
        </filterColumn>
      </autoFilter>
    </filter>
    <filter fld="21" type="count" evalOrder="-1" id="3" iMeasureFld="0">
      <autoFilter ref="A1">
        <filterColumn colId="0">
          <top10 val="5" filterVal="5"/>
        </filterColumn>
      </autoFilter>
    </filter>
    <filter fld="5"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36A0FB0-BA99-47D4-9998-12EDC9353ED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16" firstHeaderRow="1" firstDataRow="1" firstDataCol="1"/>
  <pivotFields count="28">
    <pivotField showAll="0"/>
    <pivotField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measureFilter="1" sortType="ascending">
      <autoSortScope>
        <pivotArea dataOnly="0" outline="0" fieldPosition="0">
          <references count="1">
            <reference field="4294967294" count="1" selected="0">
              <x v="0"/>
            </reference>
          </references>
        </pivotArea>
      </autoSortScope>
    </pivotField>
    <pivotField showAll="0"/>
    <pivotField showAll="0" measureFilter="1" sortType="ascending">
      <autoSortScope>
        <pivotArea dataOnly="0" outline="0" fieldPosition="0">
          <references count="1">
            <reference field="4294967294" count="1" selected="0">
              <x v="0"/>
            </reference>
          </references>
        </pivotArea>
      </autoSortScope>
    </pivotField>
    <pivotField axis="axisRow" showAll="0">
      <items count="13">
        <item x="4"/>
        <item x="3"/>
        <item x="9"/>
        <item x="8"/>
        <item x="7"/>
        <item x="0"/>
        <item x="1"/>
        <item x="2"/>
        <item x="6"/>
        <item x="11"/>
        <item x="10"/>
        <item x="5"/>
        <item t="default"/>
      </items>
    </pivotField>
    <pivotField showAll="0"/>
    <pivotField showAll="0"/>
    <pivotField showAll="0" sortType="a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sortType="a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dataField="1" numFmtId="166" showAll="0"/>
    <pivotField numFmtId="166"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13">
    <i>
      <x/>
    </i>
    <i>
      <x v="1"/>
    </i>
    <i>
      <x v="2"/>
    </i>
    <i>
      <x v="3"/>
    </i>
    <i>
      <x v="4"/>
    </i>
    <i>
      <x v="5"/>
    </i>
    <i>
      <x v="6"/>
    </i>
    <i>
      <x v="7"/>
    </i>
    <i>
      <x v="8"/>
    </i>
    <i>
      <x v="9"/>
    </i>
    <i>
      <x v="10"/>
    </i>
    <i>
      <x v="11"/>
    </i>
    <i t="grand">
      <x/>
    </i>
  </rowItems>
  <colItems count="1">
    <i/>
  </colItems>
  <dataFields count="1">
    <dataField name="Sum of Revenue" fld="24" baseField="0" baseItem="0" numFmtId="166"/>
  </dataFields>
  <chartFormats count="9">
    <chartFormat chart="4" format="0"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0"/>
          </reference>
        </references>
      </pivotArea>
    </chartFormat>
    <chartFormat chart="6" format="30" series="1">
      <pivotArea type="data" outline="0" fieldPosition="0">
        <references count="1">
          <reference field="4294967294" count="1" selected="0">
            <x v="0"/>
          </reference>
        </references>
      </pivotArea>
    </chartFormat>
    <chartFormat chart="9" format="43" series="1">
      <pivotArea type="data" outline="0" fieldPosition="0">
        <references count="1">
          <reference field="4294967294" count="1" selected="0">
            <x v="0"/>
          </reference>
        </references>
      </pivotArea>
    </chartFormat>
    <chartFormat chart="12" format="52" series="1">
      <pivotArea type="data" outline="0" fieldPosition="0">
        <references count="1">
          <reference field="4294967294" count="1" selected="0">
            <x v="0"/>
          </reference>
        </references>
      </pivotArea>
    </chartFormat>
    <chartFormat chart="13" format="57" series="1">
      <pivotArea type="data" outline="0" fieldPosition="0">
        <references count="1">
          <reference field="4294967294" count="1" selected="0">
            <x v="0"/>
          </reference>
        </references>
      </pivotArea>
    </chartFormat>
    <chartFormat chart="14" format="52" series="1">
      <pivotArea type="data" outline="0" fieldPosition="0">
        <references count="1">
          <reference field="4294967294" count="1" selected="0">
            <x v="0"/>
          </reference>
        </references>
      </pivotArea>
    </chartFormat>
    <chartFormat chart="15" format="57" series="1">
      <pivotArea type="data" outline="0" fieldPosition="0">
        <references count="1">
          <reference field="4294967294" count="1" selected="0">
            <x v="0"/>
          </reference>
        </references>
      </pivotArea>
    </chartFormat>
    <chartFormat chart="17" format="6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3">
    <filter fld="3" type="count" evalOrder="-1" id="1" iMeasureFld="0">
      <autoFilter ref="A1">
        <filterColumn colId="0">
          <top10 val="10" filterVal="10"/>
        </filterColumn>
      </autoFilter>
    </filter>
    <filter fld="21" type="count" evalOrder="-1" id="3" iMeasureFld="0">
      <autoFilter ref="A1">
        <filterColumn colId="0">
          <top10 val="5" filterVal="5"/>
        </filterColumn>
      </autoFilter>
    </filter>
    <filter fld="5"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87CE3F0-2735-43B9-BD10-8639102BF25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11" firstHeaderRow="1" firstDataRow="1" firstDataCol="1"/>
  <pivotFields count="28">
    <pivotField showAll="0"/>
    <pivotField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showAll="0"/>
    <pivotField showAll="0"/>
    <pivotField showAll="0"/>
    <pivotField showAll="0">
      <items count="9">
        <item x="1"/>
        <item x="5"/>
        <item x="3"/>
        <item x="6"/>
        <item x="0"/>
        <item x="4"/>
        <item x="2"/>
        <item x="7"/>
        <item t="default"/>
      </items>
    </pivotField>
    <pivotField showAll="0"/>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pivotField showAll="0"/>
    <pivotField showAll="0"/>
    <pivotField axis="axisRow" dataField="1" numFmtId="166" showAll="0">
      <items count="11">
        <item x="0"/>
        <item x="1"/>
        <item x="2"/>
        <item x="3"/>
        <item x="4"/>
        <item x="5"/>
        <item x="6"/>
        <item x="7"/>
        <item x="8"/>
        <item x="9"/>
        <item t="default"/>
      </items>
    </pivotField>
    <pivotField numFmtId="166"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4"/>
  </rowFields>
  <rowItems count="8">
    <i>
      <x v="1"/>
    </i>
    <i>
      <x v="2"/>
    </i>
    <i>
      <x v="3"/>
    </i>
    <i>
      <x v="4"/>
    </i>
    <i>
      <x v="5"/>
    </i>
    <i>
      <x v="7"/>
    </i>
    <i>
      <x v="8"/>
    </i>
    <i t="grand">
      <x/>
    </i>
  </rowItems>
  <colItems count="1">
    <i/>
  </colItems>
  <dataFields count="1">
    <dataField name="Count of Revenue" fld="24" subtotal="count" baseField="0" baseItem="0"/>
  </dataFields>
  <chartFormats count="1">
    <chartFormat chart="1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397F9267-C659-4C7E-B9AB-E5B33EAEE522}" sourceName="Salesperson">
  <pivotTables>
    <pivotTable tabId="23" name="PivotTable1"/>
    <pivotTable tabId="26" name="PivotTable1"/>
    <pivotTable tabId="24" name="PivotTable1"/>
    <pivotTable tabId="20" name="PivotTable1"/>
    <pivotTable tabId="29" name="PivotTable1"/>
    <pivotTable tabId="22" name="PivotTable1"/>
    <pivotTable tabId="28" name="PivotTable1"/>
    <pivotTable tabId="27" name="PivotTable1"/>
    <pivotTable tabId="30" name="PivotTable1"/>
  </pivotTables>
  <data>
    <tabular pivotCacheId="855174872">
      <items count="8">
        <i x="1" s="1"/>
        <i x="5" s="1"/>
        <i x="3" s="1"/>
        <i x="6" s="1"/>
        <i x="0" s="1"/>
        <i x="4" s="1"/>
        <i x="2"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E5D4574A-0FC1-4DE0-95DC-DE02573C512C}" sourceName="Product Name">
  <pivotTables>
    <pivotTable tabId="26" name="PivotTable1"/>
    <pivotTable tabId="24" name="PivotTable1"/>
    <pivotTable tabId="23" name="PivotTable1"/>
    <pivotTable tabId="20" name="PivotTable1"/>
    <pivotTable tabId="29" name="PivotTable1"/>
    <pivotTable tabId="28" name="PivotTable1"/>
    <pivotTable tabId="27" name="PivotTable1"/>
    <pivotTable tabId="30" name="PivotTable1"/>
  </pivotTables>
  <data>
    <tabular pivotCacheId="855174872">
      <items count="25">
        <i x="18" s="1"/>
        <i x="0" s="1"/>
        <i x="11" s="1"/>
        <i x="12" s="1"/>
        <i x="4" s="1"/>
        <i x="7" s="1"/>
        <i x="6" s="1"/>
        <i x="8" s="1"/>
        <i x="5" s="1"/>
        <i x="13" s="1"/>
        <i x="9" s="1"/>
        <i x="3" s="1"/>
        <i x="2" s="1"/>
        <i x="1" s="1"/>
        <i x="19" s="1"/>
        <i x="20" s="1"/>
        <i x="10" s="1"/>
        <i x="24" s="1"/>
        <i x="23" s="1"/>
        <i x="15" s="1"/>
        <i x="22" s="1"/>
        <i x="14" s="1"/>
        <i x="21" s="1"/>
        <i x="16" s="1"/>
        <i x="1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07136083-B84F-4AB0-AE90-913DF7A6B598}" cache="Slicer_Salesperson" caption="Salesperson" columnCount="4" showCaption="0" style="Slicer Style 2" rowHeight="245835"/>
  <slicer name="Product Name" xr10:uid="{FA0A0B27-34CD-4FE0-8C5B-CF13D0AD53B6}" cache="Slicer_Product_Name" caption="Product Name" columnCount="4" showCaption="0" style="Slicer Style 2 2" rowHeight="24583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www.excelcampus.com/pivot-tables/pivot-tables-wor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7.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8.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9.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4.xml"/><Relationship Id="rId1" Type="http://schemas.openxmlformats.org/officeDocument/2006/relationships/printerSettings" Target="../printerSettings/printerSettings3.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B19:C20"/>
  <sheetViews>
    <sheetView showGridLines="0" workbookViewId="0">
      <selection activeCell="M29" sqref="M29"/>
    </sheetView>
  </sheetViews>
  <sheetFormatPr defaultRowHeight="14.6" x14ac:dyDescent="0.4"/>
  <sheetData>
    <row r="19" spans="2:3" x14ac:dyDescent="0.4">
      <c r="B19" s="6" t="s">
        <v>153</v>
      </c>
      <c r="C19" t="s">
        <v>154</v>
      </c>
    </row>
    <row r="20" spans="2:3" x14ac:dyDescent="0.4">
      <c r="B20" s="6" t="s">
        <v>152</v>
      </c>
      <c r="C20" s="5" t="s">
        <v>155</v>
      </c>
    </row>
  </sheetData>
  <hyperlinks>
    <hyperlink ref="C20" r:id="rId1" xr:uid="{00000000-0004-0000-0200-00000000000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61FB6-D025-415A-A7B9-C746D2BAC75E}">
  <dimension ref="A2:A12"/>
  <sheetViews>
    <sheetView topLeftCell="A3" workbookViewId="0">
      <selection activeCell="A31" sqref="A31"/>
    </sheetView>
  </sheetViews>
  <sheetFormatPr defaultRowHeight="14.6" x14ac:dyDescent="0.4"/>
  <cols>
    <col min="1" max="1" width="66.4609375" customWidth="1"/>
    <col min="3" max="3" width="9.23046875" customWidth="1"/>
  </cols>
  <sheetData>
    <row r="2" spans="1:1" ht="20.6" x14ac:dyDescent="0.55000000000000004">
      <c r="A2" s="7" t="s">
        <v>161</v>
      </c>
    </row>
    <row r="3" spans="1:1" ht="68.25" customHeight="1" x14ac:dyDescent="0.4">
      <c r="A3" s="9" t="s">
        <v>162</v>
      </c>
    </row>
    <row r="4" spans="1:1" ht="20.6" x14ac:dyDescent="0.55000000000000004">
      <c r="A4" s="8" t="s">
        <v>156</v>
      </c>
    </row>
    <row r="5" spans="1:1" ht="20.6" x14ac:dyDescent="0.55000000000000004">
      <c r="A5" s="8" t="s">
        <v>157</v>
      </c>
    </row>
    <row r="6" spans="1:1" ht="20.6" x14ac:dyDescent="0.55000000000000004">
      <c r="A6" s="8" t="s">
        <v>158</v>
      </c>
    </row>
    <row r="7" spans="1:1" ht="20.6" x14ac:dyDescent="0.55000000000000004">
      <c r="A7" s="8" t="s">
        <v>159</v>
      </c>
    </row>
    <row r="8" spans="1:1" ht="20.6" x14ac:dyDescent="0.55000000000000004">
      <c r="A8" s="8" t="s">
        <v>160</v>
      </c>
    </row>
    <row r="9" spans="1:1" ht="20.6" x14ac:dyDescent="0.55000000000000004">
      <c r="A9" s="8" t="s">
        <v>163</v>
      </c>
    </row>
    <row r="10" spans="1:1" ht="20.6" x14ac:dyDescent="0.55000000000000004">
      <c r="A10" s="8" t="s">
        <v>164</v>
      </c>
    </row>
    <row r="11" spans="1:1" ht="20.6" x14ac:dyDescent="0.55000000000000004">
      <c r="A11" s="8" t="s">
        <v>165</v>
      </c>
    </row>
    <row r="12" spans="1:1" ht="20.6" x14ac:dyDescent="0.55000000000000004">
      <c r="A12" s="13" t="s">
        <v>182</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FC9F2-3CE2-41B3-9651-40F3636B85BA}">
  <sheetPr filterMode="1">
    <tabColor theme="1" tint="0.249977111117893"/>
  </sheetPr>
  <dimension ref="A1:Z370"/>
  <sheetViews>
    <sheetView zoomScale="90" zoomScaleNormal="90" workbookViewId="0">
      <pane ySplit="1" topLeftCell="A2" activePane="bottomLeft" state="frozen"/>
      <selection pane="bottomLeft" activeCell="A2" sqref="A2"/>
    </sheetView>
  </sheetViews>
  <sheetFormatPr defaultRowHeight="14.6" x14ac:dyDescent="0.4"/>
  <cols>
    <col min="1" max="1" width="10.53515625" customWidth="1"/>
    <col min="2" max="2" width="10.69140625" bestFit="1" customWidth="1"/>
    <col min="3" max="3" width="14.23046875" bestFit="1" customWidth="1"/>
    <col min="4" max="4" width="15.4609375" bestFit="1" customWidth="1"/>
    <col min="5" max="5" width="14.23046875" bestFit="1" customWidth="1"/>
    <col min="6" max="6" width="12.53515625" bestFit="1" customWidth="1"/>
    <col min="7" max="7" width="7.53515625" bestFit="1" customWidth="1"/>
    <col min="8" max="9" width="15.23046875" bestFit="1" customWidth="1"/>
    <col min="10" max="10" width="19.69140625" bestFit="1" customWidth="1"/>
    <col min="11" max="11" width="7.23046875" bestFit="1" customWidth="1"/>
    <col min="12" max="12" width="12.765625" bestFit="1" customWidth="1"/>
    <col min="13" max="13" width="19.4609375" bestFit="1" customWidth="1"/>
    <col min="14" max="14" width="21.53515625" bestFit="1" customWidth="1"/>
    <col min="15" max="15" width="14.23046875" bestFit="1" customWidth="1"/>
    <col min="16" max="16" width="12.53515625" bestFit="1" customWidth="1"/>
    <col min="17" max="17" width="9.765625" bestFit="1" customWidth="1"/>
    <col min="18" max="19" width="19.53515625" bestFit="1" customWidth="1"/>
    <col min="20" max="20" width="13.69140625" bestFit="1" customWidth="1"/>
    <col min="21" max="21" width="21" bestFit="1" customWidth="1"/>
    <col min="22" max="22" width="25" bestFit="1" customWidth="1"/>
    <col min="23" max="23" width="9.69140625" bestFit="1" customWidth="1"/>
    <col min="24" max="24" width="8.69140625" bestFit="1" customWidth="1"/>
    <col min="25" max="25" width="19.53515625" customWidth="1"/>
    <col min="26" max="26" width="12.4609375" bestFit="1" customWidth="1"/>
  </cols>
  <sheetData>
    <row r="1" spans="1:26"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4">
      <c r="A2">
        <v>1001</v>
      </c>
      <c r="B2" s="2">
        <v>41666</v>
      </c>
      <c r="C2">
        <v>27</v>
      </c>
      <c r="D2" t="s">
        <v>26</v>
      </c>
      <c r="E2" t="s">
        <v>27</v>
      </c>
      <c r="F2" t="s">
        <v>28</v>
      </c>
      <c r="G2" t="s">
        <v>29</v>
      </c>
      <c r="H2">
        <v>99999</v>
      </c>
      <c r="I2" t="s">
        <v>30</v>
      </c>
      <c r="J2" t="s">
        <v>31</v>
      </c>
      <c r="K2" t="s">
        <v>32</v>
      </c>
      <c r="L2" s="2">
        <v>41668</v>
      </c>
      <c r="M2" t="s">
        <v>33</v>
      </c>
      <c r="N2" t="s">
        <v>34</v>
      </c>
      <c r="O2" t="s">
        <v>27</v>
      </c>
      <c r="P2" t="s">
        <v>28</v>
      </c>
      <c r="Q2" t="s">
        <v>29</v>
      </c>
      <c r="R2">
        <v>99999</v>
      </c>
      <c r="S2" t="s">
        <v>30</v>
      </c>
      <c r="T2" t="s">
        <v>35</v>
      </c>
      <c r="U2" t="s">
        <v>36</v>
      </c>
      <c r="V2" t="s">
        <v>37</v>
      </c>
      <c r="W2" s="3">
        <v>14</v>
      </c>
      <c r="X2">
        <v>49</v>
      </c>
      <c r="Y2" s="4">
        <v>686</v>
      </c>
      <c r="Z2" s="3">
        <v>66.542000000000002</v>
      </c>
    </row>
    <row r="3" spans="1:26" x14ac:dyDescent="0.4">
      <c r="A3">
        <v>1002</v>
      </c>
      <c r="B3" s="2">
        <v>41666</v>
      </c>
      <c r="C3">
        <v>27</v>
      </c>
      <c r="D3" t="s">
        <v>26</v>
      </c>
      <c r="E3" t="s">
        <v>27</v>
      </c>
      <c r="F3" t="s">
        <v>28</v>
      </c>
      <c r="G3" t="s">
        <v>29</v>
      </c>
      <c r="H3">
        <v>99999</v>
      </c>
      <c r="I3" t="s">
        <v>30</v>
      </c>
      <c r="J3" t="s">
        <v>31</v>
      </c>
      <c r="K3" t="s">
        <v>32</v>
      </c>
      <c r="L3" s="2">
        <v>41668</v>
      </c>
      <c r="M3" t="s">
        <v>33</v>
      </c>
      <c r="N3" t="s">
        <v>34</v>
      </c>
      <c r="O3" t="s">
        <v>27</v>
      </c>
      <c r="P3" t="s">
        <v>28</v>
      </c>
      <c r="Q3" t="s">
        <v>29</v>
      </c>
      <c r="R3">
        <v>99999</v>
      </c>
      <c r="S3" t="s">
        <v>30</v>
      </c>
      <c r="T3" t="s">
        <v>35</v>
      </c>
      <c r="U3" t="s">
        <v>38</v>
      </c>
      <c r="V3" t="s">
        <v>39</v>
      </c>
      <c r="W3" s="3">
        <v>3.5</v>
      </c>
      <c r="X3">
        <v>47</v>
      </c>
      <c r="Y3" s="4">
        <v>164.5</v>
      </c>
      <c r="Z3" s="3">
        <v>16.6145</v>
      </c>
    </row>
    <row r="4" spans="1:26" x14ac:dyDescent="0.4">
      <c r="A4">
        <v>1003</v>
      </c>
      <c r="B4" s="2">
        <v>41643</v>
      </c>
      <c r="C4">
        <v>4</v>
      </c>
      <c r="D4" t="s">
        <v>40</v>
      </c>
      <c r="E4" t="s">
        <v>41</v>
      </c>
      <c r="F4" t="s">
        <v>42</v>
      </c>
      <c r="G4" t="s">
        <v>43</v>
      </c>
      <c r="H4">
        <v>99999</v>
      </c>
      <c r="I4" t="s">
        <v>30</v>
      </c>
      <c r="J4" t="s">
        <v>44</v>
      </c>
      <c r="K4" t="s">
        <v>45</v>
      </c>
      <c r="L4" s="2">
        <v>41645</v>
      </c>
      <c r="M4" t="s">
        <v>46</v>
      </c>
      <c r="N4" t="s">
        <v>47</v>
      </c>
      <c r="O4" t="s">
        <v>41</v>
      </c>
      <c r="P4" t="s">
        <v>42</v>
      </c>
      <c r="Q4" t="s">
        <v>43</v>
      </c>
      <c r="R4">
        <v>99999</v>
      </c>
      <c r="S4" t="s">
        <v>30</v>
      </c>
      <c r="T4" t="s">
        <v>48</v>
      </c>
      <c r="U4" t="s">
        <v>49</v>
      </c>
      <c r="V4" t="s">
        <v>39</v>
      </c>
      <c r="W4" s="3">
        <v>30</v>
      </c>
      <c r="X4">
        <v>69</v>
      </c>
      <c r="Y4" s="4">
        <v>2070</v>
      </c>
      <c r="Z4" s="3">
        <v>198.72</v>
      </c>
    </row>
    <row r="5" spans="1:26" x14ac:dyDescent="0.4">
      <c r="A5">
        <v>1004</v>
      </c>
      <c r="B5" s="2">
        <v>41643</v>
      </c>
      <c r="C5">
        <v>4</v>
      </c>
      <c r="D5" t="s">
        <v>40</v>
      </c>
      <c r="E5" t="s">
        <v>41</v>
      </c>
      <c r="F5" t="s">
        <v>42</v>
      </c>
      <c r="G5" t="s">
        <v>43</v>
      </c>
      <c r="H5">
        <v>99999</v>
      </c>
      <c r="I5" t="s">
        <v>30</v>
      </c>
      <c r="J5" t="s">
        <v>44</v>
      </c>
      <c r="K5" t="s">
        <v>45</v>
      </c>
      <c r="L5" s="2">
        <v>41645</v>
      </c>
      <c r="M5" t="s">
        <v>46</v>
      </c>
      <c r="N5" t="s">
        <v>47</v>
      </c>
      <c r="O5" t="s">
        <v>41</v>
      </c>
      <c r="P5" t="s">
        <v>42</v>
      </c>
      <c r="Q5" t="s">
        <v>43</v>
      </c>
      <c r="R5">
        <v>99999</v>
      </c>
      <c r="S5" t="s">
        <v>30</v>
      </c>
      <c r="T5" t="s">
        <v>48</v>
      </c>
      <c r="U5" t="s">
        <v>50</v>
      </c>
      <c r="V5" t="s">
        <v>39</v>
      </c>
      <c r="W5" s="3">
        <v>53</v>
      </c>
      <c r="X5">
        <v>89</v>
      </c>
      <c r="Y5" s="4">
        <v>4717</v>
      </c>
      <c r="Z5" s="3">
        <v>448.11500000000001</v>
      </c>
    </row>
    <row r="6" spans="1:26" x14ac:dyDescent="0.4">
      <c r="A6">
        <v>1005</v>
      </c>
      <c r="B6" s="2">
        <v>41643</v>
      </c>
      <c r="C6">
        <v>4</v>
      </c>
      <c r="D6" t="s">
        <v>40</v>
      </c>
      <c r="E6" t="s">
        <v>41</v>
      </c>
      <c r="F6" t="s">
        <v>42</v>
      </c>
      <c r="G6" t="s">
        <v>43</v>
      </c>
      <c r="H6">
        <v>99999</v>
      </c>
      <c r="I6" t="s">
        <v>30</v>
      </c>
      <c r="J6" t="s">
        <v>44</v>
      </c>
      <c r="K6" t="s">
        <v>45</v>
      </c>
      <c r="L6" s="2">
        <v>41645</v>
      </c>
      <c r="M6" t="s">
        <v>46</v>
      </c>
      <c r="N6" t="s">
        <v>47</v>
      </c>
      <c r="O6" t="s">
        <v>41</v>
      </c>
      <c r="P6" t="s">
        <v>42</v>
      </c>
      <c r="Q6" t="s">
        <v>43</v>
      </c>
      <c r="R6">
        <v>99999</v>
      </c>
      <c r="S6" t="s">
        <v>30</v>
      </c>
      <c r="T6" t="s">
        <v>48</v>
      </c>
      <c r="U6" t="s">
        <v>38</v>
      </c>
      <c r="V6" t="s">
        <v>39</v>
      </c>
      <c r="W6" s="3">
        <v>3.5</v>
      </c>
      <c r="X6">
        <v>11</v>
      </c>
      <c r="Y6" s="4">
        <v>38.5</v>
      </c>
      <c r="Z6" s="3">
        <v>3.7345000000000002</v>
      </c>
    </row>
    <row r="7" spans="1:26" x14ac:dyDescent="0.4">
      <c r="A7">
        <v>1006</v>
      </c>
      <c r="B7" s="2">
        <v>41651</v>
      </c>
      <c r="C7">
        <v>12</v>
      </c>
      <c r="D7" t="s">
        <v>51</v>
      </c>
      <c r="E7" t="s">
        <v>52</v>
      </c>
      <c r="F7" t="s">
        <v>28</v>
      </c>
      <c r="G7" t="s">
        <v>29</v>
      </c>
      <c r="H7">
        <v>99999</v>
      </c>
      <c r="I7" t="s">
        <v>30</v>
      </c>
      <c r="J7" t="s">
        <v>31</v>
      </c>
      <c r="K7" t="s">
        <v>32</v>
      </c>
      <c r="L7" s="2">
        <v>41653</v>
      </c>
      <c r="M7" t="s">
        <v>33</v>
      </c>
      <c r="N7" t="s">
        <v>53</v>
      </c>
      <c r="O7" t="s">
        <v>52</v>
      </c>
      <c r="P7" t="s">
        <v>28</v>
      </c>
      <c r="Q7" t="s">
        <v>29</v>
      </c>
      <c r="R7">
        <v>99999</v>
      </c>
      <c r="S7" t="s">
        <v>30</v>
      </c>
      <c r="T7" t="s">
        <v>48</v>
      </c>
      <c r="U7" t="s">
        <v>54</v>
      </c>
      <c r="V7" t="s">
        <v>37</v>
      </c>
      <c r="W7" s="3">
        <v>18</v>
      </c>
      <c r="X7">
        <v>81</v>
      </c>
      <c r="Y7" s="4">
        <v>1458</v>
      </c>
      <c r="Z7" s="3">
        <v>141.42600000000002</v>
      </c>
    </row>
    <row r="8" spans="1:26" x14ac:dyDescent="0.4">
      <c r="A8">
        <v>1007</v>
      </c>
      <c r="B8" s="2">
        <v>41651</v>
      </c>
      <c r="C8">
        <v>12</v>
      </c>
      <c r="D8" t="s">
        <v>51</v>
      </c>
      <c r="E8" t="s">
        <v>52</v>
      </c>
      <c r="F8" t="s">
        <v>28</v>
      </c>
      <c r="G8" t="s">
        <v>29</v>
      </c>
      <c r="H8">
        <v>99999</v>
      </c>
      <c r="I8" t="s">
        <v>30</v>
      </c>
      <c r="J8" t="s">
        <v>31</v>
      </c>
      <c r="K8" t="s">
        <v>32</v>
      </c>
      <c r="L8" s="2">
        <v>41653</v>
      </c>
      <c r="M8" t="s">
        <v>33</v>
      </c>
      <c r="N8" t="s">
        <v>53</v>
      </c>
      <c r="O8" t="s">
        <v>52</v>
      </c>
      <c r="P8" t="s">
        <v>28</v>
      </c>
      <c r="Q8" t="s">
        <v>29</v>
      </c>
      <c r="R8">
        <v>99999</v>
      </c>
      <c r="S8" t="s">
        <v>30</v>
      </c>
      <c r="T8" t="s">
        <v>48</v>
      </c>
      <c r="U8" t="s">
        <v>55</v>
      </c>
      <c r="V8" t="s">
        <v>37</v>
      </c>
      <c r="W8" s="3">
        <v>46</v>
      </c>
      <c r="X8">
        <v>44</v>
      </c>
      <c r="Y8" s="4">
        <v>2024</v>
      </c>
      <c r="Z8" s="3">
        <v>198.352</v>
      </c>
    </row>
    <row r="9" spans="1:26" x14ac:dyDescent="0.4">
      <c r="A9">
        <v>1008</v>
      </c>
      <c r="B9" s="2">
        <v>41647</v>
      </c>
      <c r="C9">
        <v>8</v>
      </c>
      <c r="D9" t="s">
        <v>56</v>
      </c>
      <c r="E9" t="s">
        <v>57</v>
      </c>
      <c r="F9" t="s">
        <v>58</v>
      </c>
      <c r="G9" t="s">
        <v>59</v>
      </c>
      <c r="H9">
        <v>99999</v>
      </c>
      <c r="I9" t="s">
        <v>30</v>
      </c>
      <c r="J9" t="s">
        <v>60</v>
      </c>
      <c r="K9" t="s">
        <v>61</v>
      </c>
      <c r="L9" s="2">
        <v>41649</v>
      </c>
      <c r="M9" t="s">
        <v>62</v>
      </c>
      <c r="N9" t="s">
        <v>63</v>
      </c>
      <c r="O9" t="s">
        <v>57</v>
      </c>
      <c r="P9" t="s">
        <v>58</v>
      </c>
      <c r="Q9" t="s">
        <v>59</v>
      </c>
      <c r="R9">
        <v>99999</v>
      </c>
      <c r="S9" t="s">
        <v>30</v>
      </c>
      <c r="T9" t="s">
        <v>48</v>
      </c>
      <c r="U9" t="s">
        <v>64</v>
      </c>
      <c r="V9" t="s">
        <v>65</v>
      </c>
      <c r="W9" s="3">
        <v>9.1999999999999993</v>
      </c>
      <c r="X9">
        <v>38</v>
      </c>
      <c r="Y9" s="4">
        <v>349.59999999999997</v>
      </c>
      <c r="Z9" s="3">
        <v>36.008800000000001</v>
      </c>
    </row>
    <row r="10" spans="1:26" x14ac:dyDescent="0.4">
      <c r="A10">
        <v>1009</v>
      </c>
      <c r="B10" s="2">
        <v>41643</v>
      </c>
      <c r="C10">
        <v>4</v>
      </c>
      <c r="D10" t="s">
        <v>40</v>
      </c>
      <c r="E10" t="s">
        <v>41</v>
      </c>
      <c r="F10" t="s">
        <v>42</v>
      </c>
      <c r="G10" t="s">
        <v>43</v>
      </c>
      <c r="H10">
        <v>99999</v>
      </c>
      <c r="I10" t="s">
        <v>30</v>
      </c>
      <c r="J10" t="s">
        <v>44</v>
      </c>
      <c r="K10" t="s">
        <v>45</v>
      </c>
      <c r="L10" s="2">
        <v>41645</v>
      </c>
      <c r="M10" t="s">
        <v>62</v>
      </c>
      <c r="N10" t="s">
        <v>47</v>
      </c>
      <c r="O10" t="s">
        <v>41</v>
      </c>
      <c r="P10" t="s">
        <v>42</v>
      </c>
      <c r="Q10" t="s">
        <v>43</v>
      </c>
      <c r="R10">
        <v>99999</v>
      </c>
      <c r="S10" t="s">
        <v>30</v>
      </c>
      <c r="T10" t="s">
        <v>35</v>
      </c>
      <c r="U10" t="s">
        <v>64</v>
      </c>
      <c r="V10" t="s">
        <v>65</v>
      </c>
      <c r="W10" s="3">
        <v>9.1999999999999993</v>
      </c>
      <c r="X10">
        <v>88</v>
      </c>
      <c r="Y10" s="4">
        <v>809.59999999999991</v>
      </c>
      <c r="Z10" s="3">
        <v>79.340799999999987</v>
      </c>
    </row>
    <row r="11" spans="1:26" x14ac:dyDescent="0.4">
      <c r="A11">
        <v>1010</v>
      </c>
      <c r="B11" s="2">
        <v>41668</v>
      </c>
      <c r="C11">
        <v>29</v>
      </c>
      <c r="D11" t="s">
        <v>66</v>
      </c>
      <c r="E11" t="s">
        <v>67</v>
      </c>
      <c r="F11" t="s">
        <v>68</v>
      </c>
      <c r="G11" t="s">
        <v>69</v>
      </c>
      <c r="H11">
        <v>99999</v>
      </c>
      <c r="I11" t="s">
        <v>30</v>
      </c>
      <c r="J11" t="s">
        <v>70</v>
      </c>
      <c r="K11" t="s">
        <v>32</v>
      </c>
      <c r="L11" s="2">
        <v>41670</v>
      </c>
      <c r="M11" t="s">
        <v>33</v>
      </c>
      <c r="N11" t="s">
        <v>71</v>
      </c>
      <c r="O11" t="s">
        <v>67</v>
      </c>
      <c r="P11" t="s">
        <v>68</v>
      </c>
      <c r="Q11" t="s">
        <v>69</v>
      </c>
      <c r="R11">
        <v>99999</v>
      </c>
      <c r="S11" t="s">
        <v>30</v>
      </c>
      <c r="T11" t="s">
        <v>35</v>
      </c>
      <c r="U11" t="s">
        <v>72</v>
      </c>
      <c r="V11" t="s">
        <v>73</v>
      </c>
      <c r="W11" s="3">
        <v>12.75</v>
      </c>
      <c r="X11">
        <v>94</v>
      </c>
      <c r="Y11" s="4">
        <v>1198.5</v>
      </c>
      <c r="Z11" s="3">
        <v>122.24700000000001</v>
      </c>
    </row>
    <row r="12" spans="1:26" x14ac:dyDescent="0.4">
      <c r="A12">
        <v>1011</v>
      </c>
      <c r="B12" s="2">
        <v>41642</v>
      </c>
      <c r="C12">
        <v>3</v>
      </c>
      <c r="D12" t="s">
        <v>74</v>
      </c>
      <c r="E12" t="s">
        <v>75</v>
      </c>
      <c r="F12" t="s">
        <v>76</v>
      </c>
      <c r="G12" t="s">
        <v>77</v>
      </c>
      <c r="H12">
        <v>99999</v>
      </c>
      <c r="I12" t="s">
        <v>30</v>
      </c>
      <c r="J12" t="s">
        <v>31</v>
      </c>
      <c r="K12" t="s">
        <v>32</v>
      </c>
      <c r="L12" s="2">
        <v>41644</v>
      </c>
      <c r="M12" t="s">
        <v>33</v>
      </c>
      <c r="N12" t="s">
        <v>78</v>
      </c>
      <c r="O12" t="s">
        <v>75</v>
      </c>
      <c r="P12" t="s">
        <v>76</v>
      </c>
      <c r="Q12" t="s">
        <v>77</v>
      </c>
      <c r="R12">
        <v>99999</v>
      </c>
      <c r="S12" t="s">
        <v>30</v>
      </c>
      <c r="T12" t="s">
        <v>79</v>
      </c>
      <c r="U12" t="s">
        <v>80</v>
      </c>
      <c r="V12" t="s">
        <v>81</v>
      </c>
      <c r="W12" s="3">
        <v>9.65</v>
      </c>
      <c r="X12">
        <v>91</v>
      </c>
      <c r="Y12" s="4">
        <v>878.15</v>
      </c>
      <c r="Z12" s="3">
        <v>92.205749999999995</v>
      </c>
    </row>
    <row r="13" spans="1:26" x14ac:dyDescent="0.4">
      <c r="A13">
        <v>1012</v>
      </c>
      <c r="B13" s="2">
        <v>41645</v>
      </c>
      <c r="C13">
        <v>6</v>
      </c>
      <c r="D13" t="s">
        <v>82</v>
      </c>
      <c r="E13" t="s">
        <v>83</v>
      </c>
      <c r="F13" t="s">
        <v>84</v>
      </c>
      <c r="G13" t="s">
        <v>85</v>
      </c>
      <c r="H13">
        <v>99999</v>
      </c>
      <c r="I13" t="s">
        <v>30</v>
      </c>
      <c r="J13" t="s">
        <v>86</v>
      </c>
      <c r="K13" t="s">
        <v>61</v>
      </c>
      <c r="L13" s="2">
        <v>41647</v>
      </c>
      <c r="M13" t="s">
        <v>33</v>
      </c>
      <c r="N13" t="s">
        <v>87</v>
      </c>
      <c r="O13" t="s">
        <v>83</v>
      </c>
      <c r="P13" t="s">
        <v>84</v>
      </c>
      <c r="Q13" t="s">
        <v>85</v>
      </c>
      <c r="R13">
        <v>99999</v>
      </c>
      <c r="S13" t="s">
        <v>30</v>
      </c>
      <c r="T13" t="s">
        <v>48</v>
      </c>
      <c r="U13" t="s">
        <v>88</v>
      </c>
      <c r="V13" t="s">
        <v>89</v>
      </c>
      <c r="W13" s="3">
        <v>40</v>
      </c>
      <c r="X13">
        <v>32</v>
      </c>
      <c r="Y13" s="4">
        <v>1280</v>
      </c>
      <c r="Z13" s="3">
        <v>133.12</v>
      </c>
    </row>
    <row r="14" spans="1:26" x14ac:dyDescent="0.4">
      <c r="A14">
        <v>1013</v>
      </c>
      <c r="B14" s="2">
        <v>41667</v>
      </c>
      <c r="C14">
        <v>28</v>
      </c>
      <c r="D14" t="s">
        <v>90</v>
      </c>
      <c r="E14" t="s">
        <v>91</v>
      </c>
      <c r="F14" t="s">
        <v>92</v>
      </c>
      <c r="G14" t="s">
        <v>93</v>
      </c>
      <c r="H14">
        <v>99999</v>
      </c>
      <c r="I14" t="s">
        <v>30</v>
      </c>
      <c r="J14" t="s">
        <v>94</v>
      </c>
      <c r="K14" t="s">
        <v>95</v>
      </c>
      <c r="L14" s="2">
        <v>41669</v>
      </c>
      <c r="M14" t="s">
        <v>62</v>
      </c>
      <c r="N14" t="s">
        <v>96</v>
      </c>
      <c r="O14" t="s">
        <v>91</v>
      </c>
      <c r="P14" t="s">
        <v>92</v>
      </c>
      <c r="Q14" t="s">
        <v>93</v>
      </c>
      <c r="R14">
        <v>99999</v>
      </c>
      <c r="S14" t="s">
        <v>30</v>
      </c>
      <c r="T14" t="s">
        <v>35</v>
      </c>
      <c r="U14" t="s">
        <v>55</v>
      </c>
      <c r="V14" t="s">
        <v>37</v>
      </c>
      <c r="W14" s="3">
        <v>46</v>
      </c>
      <c r="X14">
        <v>55</v>
      </c>
      <c r="Y14" s="4">
        <v>2530</v>
      </c>
      <c r="Z14" s="3">
        <v>253</v>
      </c>
    </row>
    <row r="15" spans="1:26" x14ac:dyDescent="0.4">
      <c r="A15">
        <v>1014</v>
      </c>
      <c r="B15" s="2">
        <v>41647</v>
      </c>
      <c r="C15">
        <v>8</v>
      </c>
      <c r="D15" t="s">
        <v>56</v>
      </c>
      <c r="E15" t="s">
        <v>57</v>
      </c>
      <c r="F15" t="s">
        <v>58</v>
      </c>
      <c r="G15" t="s">
        <v>59</v>
      </c>
      <c r="H15">
        <v>99999</v>
      </c>
      <c r="I15" t="s">
        <v>30</v>
      </c>
      <c r="J15" t="s">
        <v>60</v>
      </c>
      <c r="K15" t="s">
        <v>61</v>
      </c>
      <c r="L15" s="2">
        <v>41649</v>
      </c>
      <c r="M15" t="s">
        <v>62</v>
      </c>
      <c r="N15" t="s">
        <v>63</v>
      </c>
      <c r="O15" t="s">
        <v>57</v>
      </c>
      <c r="P15" t="s">
        <v>58</v>
      </c>
      <c r="Q15" t="s">
        <v>59</v>
      </c>
      <c r="R15">
        <v>99999</v>
      </c>
      <c r="S15" t="s">
        <v>30</v>
      </c>
      <c r="T15" t="s">
        <v>35</v>
      </c>
      <c r="U15" t="s">
        <v>72</v>
      </c>
      <c r="V15" t="s">
        <v>73</v>
      </c>
      <c r="W15" s="3">
        <v>12.75</v>
      </c>
      <c r="X15">
        <v>47</v>
      </c>
      <c r="Y15" s="4">
        <v>599.25</v>
      </c>
      <c r="Z15" s="3">
        <v>61.722750000000005</v>
      </c>
    </row>
    <row r="16" spans="1:26" x14ac:dyDescent="0.4">
      <c r="A16">
        <v>1015</v>
      </c>
      <c r="B16" s="2">
        <v>41649</v>
      </c>
      <c r="C16">
        <v>10</v>
      </c>
      <c r="D16" t="s">
        <v>97</v>
      </c>
      <c r="E16" t="s">
        <v>98</v>
      </c>
      <c r="F16" t="s">
        <v>99</v>
      </c>
      <c r="G16" t="s">
        <v>100</v>
      </c>
      <c r="H16">
        <v>99999</v>
      </c>
      <c r="I16" t="s">
        <v>30</v>
      </c>
      <c r="J16" t="s">
        <v>101</v>
      </c>
      <c r="K16" t="s">
        <v>45</v>
      </c>
      <c r="L16" s="2">
        <v>41651</v>
      </c>
      <c r="M16" t="s">
        <v>33</v>
      </c>
      <c r="N16" t="s">
        <v>102</v>
      </c>
      <c r="O16" t="s">
        <v>98</v>
      </c>
      <c r="P16" t="s">
        <v>99</v>
      </c>
      <c r="Q16" t="s">
        <v>100</v>
      </c>
      <c r="R16">
        <v>99999</v>
      </c>
      <c r="S16" t="s">
        <v>30</v>
      </c>
      <c r="T16" t="s">
        <v>48</v>
      </c>
      <c r="U16" t="s">
        <v>103</v>
      </c>
      <c r="V16" t="s">
        <v>37</v>
      </c>
      <c r="W16" s="3">
        <v>2.99</v>
      </c>
      <c r="X16">
        <v>90</v>
      </c>
      <c r="Y16" s="4">
        <v>269.10000000000002</v>
      </c>
      <c r="Z16" s="3">
        <v>27.717300000000005</v>
      </c>
    </row>
    <row r="17" spans="1:26" hidden="1" x14ac:dyDescent="0.4">
      <c r="A17">
        <v>1016</v>
      </c>
      <c r="B17" s="2">
        <v>41646</v>
      </c>
      <c r="C17">
        <v>7</v>
      </c>
      <c r="D17" t="s">
        <v>104</v>
      </c>
      <c r="E17" t="s">
        <v>105</v>
      </c>
      <c r="F17" t="s">
        <v>106</v>
      </c>
      <c r="G17" t="s">
        <v>107</v>
      </c>
      <c r="H17">
        <v>99999</v>
      </c>
      <c r="I17" t="s">
        <v>30</v>
      </c>
      <c r="J17" t="s">
        <v>60</v>
      </c>
      <c r="K17" t="s">
        <v>61</v>
      </c>
      <c r="N17" t="s">
        <v>108</v>
      </c>
      <c r="O17" t="s">
        <v>105</v>
      </c>
      <c r="P17" t="s">
        <v>106</v>
      </c>
      <c r="Q17" t="s">
        <v>107</v>
      </c>
      <c r="R17">
        <v>99999</v>
      </c>
      <c r="S17" t="s">
        <v>30</v>
      </c>
      <c r="U17" t="s">
        <v>55</v>
      </c>
      <c r="V17" t="s">
        <v>37</v>
      </c>
      <c r="W17" s="3">
        <v>46</v>
      </c>
      <c r="X17">
        <v>24</v>
      </c>
      <c r="Y17" s="4">
        <v>1104</v>
      </c>
      <c r="Z17" s="3">
        <v>110.4</v>
      </c>
    </row>
    <row r="18" spans="1:26" hidden="1" x14ac:dyDescent="0.4">
      <c r="A18">
        <v>1017</v>
      </c>
      <c r="B18" s="2">
        <v>41649</v>
      </c>
      <c r="C18">
        <v>10</v>
      </c>
      <c r="D18" t="s">
        <v>97</v>
      </c>
      <c r="E18" t="s">
        <v>98</v>
      </c>
      <c r="F18" t="s">
        <v>99</v>
      </c>
      <c r="G18" t="s">
        <v>100</v>
      </c>
      <c r="H18">
        <v>99999</v>
      </c>
      <c r="I18" t="s">
        <v>30</v>
      </c>
      <c r="J18" t="s">
        <v>101</v>
      </c>
      <c r="K18" t="s">
        <v>45</v>
      </c>
      <c r="L18" s="2">
        <v>41651</v>
      </c>
      <c r="M18" t="s">
        <v>46</v>
      </c>
      <c r="N18" t="s">
        <v>102</v>
      </c>
      <c r="O18" t="s">
        <v>98</v>
      </c>
      <c r="P18" t="s">
        <v>99</v>
      </c>
      <c r="Q18" t="s">
        <v>100</v>
      </c>
      <c r="R18">
        <v>99999</v>
      </c>
      <c r="S18" t="s">
        <v>30</v>
      </c>
      <c r="U18" t="s">
        <v>109</v>
      </c>
      <c r="V18" t="s">
        <v>110</v>
      </c>
      <c r="W18" s="3">
        <v>25</v>
      </c>
      <c r="X18">
        <v>34</v>
      </c>
      <c r="Y18" s="4">
        <v>850</v>
      </c>
      <c r="Z18" s="3">
        <v>80.75</v>
      </c>
    </row>
    <row r="19" spans="1:26" hidden="1" x14ac:dyDescent="0.4">
      <c r="A19">
        <v>1018</v>
      </c>
      <c r="B19" s="2">
        <v>41649</v>
      </c>
      <c r="C19">
        <v>10</v>
      </c>
      <c r="D19" t="s">
        <v>97</v>
      </c>
      <c r="E19" t="s">
        <v>98</v>
      </c>
      <c r="F19" t="s">
        <v>99</v>
      </c>
      <c r="G19" t="s">
        <v>100</v>
      </c>
      <c r="H19">
        <v>99999</v>
      </c>
      <c r="I19" t="s">
        <v>30</v>
      </c>
      <c r="J19" t="s">
        <v>101</v>
      </c>
      <c r="K19" t="s">
        <v>45</v>
      </c>
      <c r="L19" s="2">
        <v>41651</v>
      </c>
      <c r="M19" t="s">
        <v>46</v>
      </c>
      <c r="N19" t="s">
        <v>102</v>
      </c>
      <c r="O19" t="s">
        <v>98</v>
      </c>
      <c r="P19" t="s">
        <v>99</v>
      </c>
      <c r="Q19" t="s">
        <v>100</v>
      </c>
      <c r="R19">
        <v>99999</v>
      </c>
      <c r="S19" t="s">
        <v>30</v>
      </c>
      <c r="U19" t="s">
        <v>111</v>
      </c>
      <c r="V19" t="s">
        <v>112</v>
      </c>
      <c r="W19" s="3">
        <v>22</v>
      </c>
      <c r="X19">
        <v>17</v>
      </c>
      <c r="Y19" s="4">
        <v>374</v>
      </c>
      <c r="Z19" s="3">
        <v>35.903999999999996</v>
      </c>
    </row>
    <row r="20" spans="1:26" hidden="1" x14ac:dyDescent="0.4">
      <c r="A20">
        <v>1019</v>
      </c>
      <c r="B20" s="2">
        <v>41649</v>
      </c>
      <c r="C20">
        <v>10</v>
      </c>
      <c r="D20" t="s">
        <v>97</v>
      </c>
      <c r="E20" t="s">
        <v>98</v>
      </c>
      <c r="F20" t="s">
        <v>99</v>
      </c>
      <c r="G20" t="s">
        <v>100</v>
      </c>
      <c r="H20">
        <v>99999</v>
      </c>
      <c r="I20" t="s">
        <v>30</v>
      </c>
      <c r="J20" t="s">
        <v>101</v>
      </c>
      <c r="K20" t="s">
        <v>45</v>
      </c>
      <c r="L20" s="2">
        <v>41651</v>
      </c>
      <c r="M20" t="s">
        <v>46</v>
      </c>
      <c r="N20" t="s">
        <v>102</v>
      </c>
      <c r="O20" t="s">
        <v>98</v>
      </c>
      <c r="P20" t="s">
        <v>99</v>
      </c>
      <c r="Q20" t="s">
        <v>100</v>
      </c>
      <c r="R20">
        <v>99999</v>
      </c>
      <c r="S20" t="s">
        <v>30</v>
      </c>
      <c r="U20" t="s">
        <v>64</v>
      </c>
      <c r="V20" t="s">
        <v>65</v>
      </c>
      <c r="W20" s="3">
        <v>9.1999999999999993</v>
      </c>
      <c r="X20">
        <v>44</v>
      </c>
      <c r="Y20" s="4">
        <v>404.79999999999995</v>
      </c>
      <c r="Z20" s="3">
        <v>42.099199999999996</v>
      </c>
    </row>
    <row r="21" spans="1:26" hidden="1" x14ac:dyDescent="0.4">
      <c r="A21">
        <v>1020</v>
      </c>
      <c r="B21" s="2">
        <v>41650</v>
      </c>
      <c r="C21">
        <v>11</v>
      </c>
      <c r="D21" t="s">
        <v>113</v>
      </c>
      <c r="E21" t="s">
        <v>114</v>
      </c>
      <c r="F21" t="s">
        <v>115</v>
      </c>
      <c r="G21" t="s">
        <v>116</v>
      </c>
      <c r="H21">
        <v>99999</v>
      </c>
      <c r="I21" t="s">
        <v>30</v>
      </c>
      <c r="J21" t="s">
        <v>94</v>
      </c>
      <c r="K21" t="s">
        <v>95</v>
      </c>
      <c r="M21" t="s">
        <v>62</v>
      </c>
      <c r="N21" t="s">
        <v>117</v>
      </c>
      <c r="O21" t="s">
        <v>114</v>
      </c>
      <c r="P21" t="s">
        <v>115</v>
      </c>
      <c r="Q21" t="s">
        <v>116</v>
      </c>
      <c r="R21">
        <v>99999</v>
      </c>
      <c r="S21" t="s">
        <v>30</v>
      </c>
      <c r="U21" t="s">
        <v>38</v>
      </c>
      <c r="V21" t="s">
        <v>39</v>
      </c>
      <c r="W21" s="3">
        <v>3.5</v>
      </c>
      <c r="X21">
        <v>81</v>
      </c>
      <c r="Y21" s="4">
        <v>283.5</v>
      </c>
      <c r="Z21" s="3">
        <v>27.499500000000001</v>
      </c>
    </row>
    <row r="22" spans="1:26" hidden="1" x14ac:dyDescent="0.4">
      <c r="A22">
        <v>1021</v>
      </c>
      <c r="B22" s="2">
        <v>41650</v>
      </c>
      <c r="C22">
        <v>11</v>
      </c>
      <c r="D22" t="s">
        <v>113</v>
      </c>
      <c r="E22" t="s">
        <v>114</v>
      </c>
      <c r="F22" t="s">
        <v>115</v>
      </c>
      <c r="G22" t="s">
        <v>116</v>
      </c>
      <c r="H22">
        <v>99999</v>
      </c>
      <c r="I22" t="s">
        <v>30</v>
      </c>
      <c r="J22" t="s">
        <v>94</v>
      </c>
      <c r="K22" t="s">
        <v>95</v>
      </c>
      <c r="M22" t="s">
        <v>62</v>
      </c>
      <c r="N22" t="s">
        <v>117</v>
      </c>
      <c r="O22" t="s">
        <v>114</v>
      </c>
      <c r="P22" t="s">
        <v>115</v>
      </c>
      <c r="Q22" t="s">
        <v>116</v>
      </c>
      <c r="R22">
        <v>99999</v>
      </c>
      <c r="S22" t="s">
        <v>30</v>
      </c>
      <c r="U22" t="s">
        <v>103</v>
      </c>
      <c r="V22" t="s">
        <v>37</v>
      </c>
      <c r="W22" s="3">
        <v>2.99</v>
      </c>
      <c r="X22">
        <v>49</v>
      </c>
      <c r="Y22" s="4">
        <v>146.51000000000002</v>
      </c>
      <c r="Z22" s="3">
        <v>15.090530000000005</v>
      </c>
    </row>
    <row r="23" spans="1:26" hidden="1" x14ac:dyDescent="0.4">
      <c r="A23">
        <v>1022</v>
      </c>
      <c r="B23" s="2">
        <v>41640</v>
      </c>
      <c r="C23">
        <v>1</v>
      </c>
      <c r="D23" t="s">
        <v>118</v>
      </c>
      <c r="E23" t="s">
        <v>119</v>
      </c>
      <c r="F23" t="s">
        <v>120</v>
      </c>
      <c r="G23" t="s">
        <v>121</v>
      </c>
      <c r="H23">
        <v>99999</v>
      </c>
      <c r="I23" t="s">
        <v>30</v>
      </c>
      <c r="J23" t="s">
        <v>60</v>
      </c>
      <c r="K23" t="s">
        <v>61</v>
      </c>
      <c r="N23" t="s">
        <v>122</v>
      </c>
      <c r="O23" t="s">
        <v>119</v>
      </c>
      <c r="P23" t="s">
        <v>120</v>
      </c>
      <c r="Q23" t="s">
        <v>121</v>
      </c>
      <c r="R23">
        <v>99999</v>
      </c>
      <c r="S23" t="s">
        <v>30</v>
      </c>
      <c r="U23" t="s">
        <v>54</v>
      </c>
      <c r="V23" t="s">
        <v>37</v>
      </c>
      <c r="W23" s="3">
        <v>18</v>
      </c>
      <c r="X23">
        <v>42</v>
      </c>
      <c r="Y23" s="4">
        <v>756</v>
      </c>
      <c r="Z23" s="3">
        <v>75.600000000000009</v>
      </c>
    </row>
    <row r="24" spans="1:26" hidden="1" x14ac:dyDescent="0.4">
      <c r="A24">
        <v>1023</v>
      </c>
      <c r="B24" s="2">
        <v>41640</v>
      </c>
      <c r="C24">
        <v>1</v>
      </c>
      <c r="D24" t="s">
        <v>118</v>
      </c>
      <c r="E24" t="s">
        <v>119</v>
      </c>
      <c r="F24" t="s">
        <v>120</v>
      </c>
      <c r="G24" t="s">
        <v>121</v>
      </c>
      <c r="H24">
        <v>99999</v>
      </c>
      <c r="I24" t="s">
        <v>30</v>
      </c>
      <c r="J24" t="s">
        <v>60</v>
      </c>
      <c r="K24" t="s">
        <v>61</v>
      </c>
      <c r="N24" t="s">
        <v>122</v>
      </c>
      <c r="O24" t="s">
        <v>119</v>
      </c>
      <c r="P24" t="s">
        <v>120</v>
      </c>
      <c r="Q24" t="s">
        <v>121</v>
      </c>
      <c r="R24">
        <v>99999</v>
      </c>
      <c r="S24" t="s">
        <v>30</v>
      </c>
      <c r="U24" t="s">
        <v>55</v>
      </c>
      <c r="V24" t="s">
        <v>37</v>
      </c>
      <c r="W24" s="3">
        <v>46</v>
      </c>
      <c r="X24">
        <v>58</v>
      </c>
      <c r="Y24" s="4">
        <v>2668</v>
      </c>
      <c r="Z24" s="3">
        <v>269.46800000000002</v>
      </c>
    </row>
    <row r="25" spans="1:26" hidden="1" x14ac:dyDescent="0.4">
      <c r="A25">
        <v>1024</v>
      </c>
      <c r="B25" s="2">
        <v>41640</v>
      </c>
      <c r="C25">
        <v>1</v>
      </c>
      <c r="D25" t="s">
        <v>118</v>
      </c>
      <c r="E25" t="s">
        <v>119</v>
      </c>
      <c r="F25" t="s">
        <v>120</v>
      </c>
      <c r="G25" t="s">
        <v>121</v>
      </c>
      <c r="H25">
        <v>99999</v>
      </c>
      <c r="I25" t="s">
        <v>30</v>
      </c>
      <c r="J25" t="s">
        <v>60</v>
      </c>
      <c r="K25" t="s">
        <v>61</v>
      </c>
      <c r="N25" t="s">
        <v>122</v>
      </c>
      <c r="O25" t="s">
        <v>119</v>
      </c>
      <c r="P25" t="s">
        <v>120</v>
      </c>
      <c r="Q25" t="s">
        <v>121</v>
      </c>
      <c r="R25">
        <v>99999</v>
      </c>
      <c r="S25" t="s">
        <v>30</v>
      </c>
      <c r="U25" t="s">
        <v>103</v>
      </c>
      <c r="V25" t="s">
        <v>37</v>
      </c>
      <c r="W25" s="3">
        <v>2.99</v>
      </c>
      <c r="X25">
        <v>67</v>
      </c>
      <c r="Y25" s="4">
        <v>200.33</v>
      </c>
      <c r="Z25" s="3">
        <v>20.033000000000001</v>
      </c>
    </row>
    <row r="26" spans="1:26" x14ac:dyDescent="0.4">
      <c r="A26">
        <v>1025</v>
      </c>
      <c r="B26" s="2">
        <v>41667</v>
      </c>
      <c r="C26">
        <v>28</v>
      </c>
      <c r="D26" t="s">
        <v>90</v>
      </c>
      <c r="E26" t="s">
        <v>91</v>
      </c>
      <c r="F26" t="s">
        <v>92</v>
      </c>
      <c r="G26" t="s">
        <v>93</v>
      </c>
      <c r="H26">
        <v>99999</v>
      </c>
      <c r="I26" t="s">
        <v>30</v>
      </c>
      <c r="J26" t="s">
        <v>94</v>
      </c>
      <c r="K26" t="s">
        <v>95</v>
      </c>
      <c r="L26" s="2">
        <v>41669</v>
      </c>
      <c r="M26" t="s">
        <v>62</v>
      </c>
      <c r="N26" t="s">
        <v>96</v>
      </c>
      <c r="O26" t="s">
        <v>91</v>
      </c>
      <c r="P26" t="s">
        <v>92</v>
      </c>
      <c r="Q26" t="s">
        <v>93</v>
      </c>
      <c r="R26">
        <v>99999</v>
      </c>
      <c r="S26" t="s">
        <v>30</v>
      </c>
      <c r="T26" t="s">
        <v>48</v>
      </c>
      <c r="U26" t="s">
        <v>80</v>
      </c>
      <c r="V26" t="s">
        <v>81</v>
      </c>
      <c r="W26" s="3">
        <v>9.65</v>
      </c>
      <c r="X26">
        <v>100</v>
      </c>
      <c r="Y26" s="4">
        <v>965</v>
      </c>
      <c r="Z26" s="3">
        <v>93.605000000000004</v>
      </c>
    </row>
    <row r="27" spans="1:26" x14ac:dyDescent="0.4">
      <c r="A27">
        <v>1026</v>
      </c>
      <c r="B27" s="2">
        <v>41667</v>
      </c>
      <c r="C27">
        <v>28</v>
      </c>
      <c r="D27" t="s">
        <v>90</v>
      </c>
      <c r="E27" t="s">
        <v>91</v>
      </c>
      <c r="F27" t="s">
        <v>92</v>
      </c>
      <c r="G27" t="s">
        <v>93</v>
      </c>
      <c r="H27">
        <v>99999</v>
      </c>
      <c r="I27" t="s">
        <v>30</v>
      </c>
      <c r="J27" t="s">
        <v>94</v>
      </c>
      <c r="K27" t="s">
        <v>95</v>
      </c>
      <c r="L27" s="2">
        <v>41669</v>
      </c>
      <c r="M27" t="s">
        <v>62</v>
      </c>
      <c r="N27" t="s">
        <v>96</v>
      </c>
      <c r="O27" t="s">
        <v>91</v>
      </c>
      <c r="P27" t="s">
        <v>92</v>
      </c>
      <c r="Q27" t="s">
        <v>93</v>
      </c>
      <c r="R27">
        <v>99999</v>
      </c>
      <c r="S27" t="s">
        <v>30</v>
      </c>
      <c r="T27" t="s">
        <v>48</v>
      </c>
      <c r="U27" t="s">
        <v>123</v>
      </c>
      <c r="V27" t="s">
        <v>124</v>
      </c>
      <c r="W27" s="3">
        <v>18.399999999999999</v>
      </c>
      <c r="X27">
        <v>63</v>
      </c>
      <c r="Y27" s="4">
        <v>1159.1999999999998</v>
      </c>
      <c r="Z27" s="3">
        <v>114.76079999999999</v>
      </c>
    </row>
    <row r="28" spans="1:26" x14ac:dyDescent="0.4">
      <c r="A28">
        <v>1027</v>
      </c>
      <c r="B28" s="2">
        <v>41648</v>
      </c>
      <c r="C28">
        <v>9</v>
      </c>
      <c r="D28" t="s">
        <v>125</v>
      </c>
      <c r="E28" t="s">
        <v>126</v>
      </c>
      <c r="F28" t="s">
        <v>127</v>
      </c>
      <c r="G28" t="s">
        <v>128</v>
      </c>
      <c r="H28">
        <v>99999</v>
      </c>
      <c r="I28" t="s">
        <v>30</v>
      </c>
      <c r="J28" t="s">
        <v>129</v>
      </c>
      <c r="K28" t="s">
        <v>32</v>
      </c>
      <c r="L28" s="2">
        <v>41650</v>
      </c>
      <c r="M28" t="s">
        <v>46</v>
      </c>
      <c r="N28" t="s">
        <v>130</v>
      </c>
      <c r="O28" t="s">
        <v>126</v>
      </c>
      <c r="P28" t="s">
        <v>127</v>
      </c>
      <c r="Q28" t="s">
        <v>128</v>
      </c>
      <c r="R28">
        <v>99999</v>
      </c>
      <c r="S28" t="s">
        <v>30</v>
      </c>
      <c r="T28" t="s">
        <v>35</v>
      </c>
      <c r="U28" t="s">
        <v>131</v>
      </c>
      <c r="V28" t="s">
        <v>132</v>
      </c>
      <c r="W28" s="3">
        <v>19.5</v>
      </c>
      <c r="X28">
        <v>57</v>
      </c>
      <c r="Y28" s="4">
        <v>1111.5</v>
      </c>
      <c r="Z28" s="3">
        <v>110.0385</v>
      </c>
    </row>
    <row r="29" spans="1:26" x14ac:dyDescent="0.4">
      <c r="A29">
        <v>1028</v>
      </c>
      <c r="B29" s="2">
        <v>41648</v>
      </c>
      <c r="C29">
        <v>9</v>
      </c>
      <c r="D29" t="s">
        <v>125</v>
      </c>
      <c r="E29" t="s">
        <v>126</v>
      </c>
      <c r="F29" t="s">
        <v>127</v>
      </c>
      <c r="G29" t="s">
        <v>128</v>
      </c>
      <c r="H29">
        <v>99999</v>
      </c>
      <c r="I29" t="s">
        <v>30</v>
      </c>
      <c r="J29" t="s">
        <v>129</v>
      </c>
      <c r="K29" t="s">
        <v>32</v>
      </c>
      <c r="L29" s="2">
        <v>41650</v>
      </c>
      <c r="M29" t="s">
        <v>46</v>
      </c>
      <c r="N29" t="s">
        <v>130</v>
      </c>
      <c r="O29" t="s">
        <v>126</v>
      </c>
      <c r="P29" t="s">
        <v>127</v>
      </c>
      <c r="Q29" t="s">
        <v>128</v>
      </c>
      <c r="R29">
        <v>99999</v>
      </c>
      <c r="S29" t="s">
        <v>30</v>
      </c>
      <c r="T29" t="s">
        <v>35</v>
      </c>
      <c r="U29" t="s">
        <v>133</v>
      </c>
      <c r="V29" t="s">
        <v>134</v>
      </c>
      <c r="W29" s="3">
        <v>34.799999999999997</v>
      </c>
      <c r="X29">
        <v>81</v>
      </c>
      <c r="Y29" s="4">
        <v>2818.7999999999997</v>
      </c>
      <c r="Z29" s="3">
        <v>295.97399999999999</v>
      </c>
    </row>
    <row r="30" spans="1:26" x14ac:dyDescent="0.4">
      <c r="A30">
        <v>1029</v>
      </c>
      <c r="B30" s="2">
        <v>41645</v>
      </c>
      <c r="C30">
        <v>6</v>
      </c>
      <c r="D30" t="s">
        <v>82</v>
      </c>
      <c r="E30" t="s">
        <v>83</v>
      </c>
      <c r="F30" t="s">
        <v>84</v>
      </c>
      <c r="G30" t="s">
        <v>85</v>
      </c>
      <c r="H30">
        <v>99999</v>
      </c>
      <c r="I30" t="s">
        <v>30</v>
      </c>
      <c r="J30" t="s">
        <v>86</v>
      </c>
      <c r="K30" t="s">
        <v>61</v>
      </c>
      <c r="L30" s="2">
        <v>41647</v>
      </c>
      <c r="M30" t="s">
        <v>33</v>
      </c>
      <c r="N30" t="s">
        <v>87</v>
      </c>
      <c r="O30" t="s">
        <v>83</v>
      </c>
      <c r="P30" t="s">
        <v>84</v>
      </c>
      <c r="Q30" t="s">
        <v>85</v>
      </c>
      <c r="R30">
        <v>99999</v>
      </c>
      <c r="S30" t="s">
        <v>30</v>
      </c>
      <c r="T30" t="s">
        <v>48</v>
      </c>
      <c r="U30" t="s">
        <v>36</v>
      </c>
      <c r="V30" t="s">
        <v>37</v>
      </c>
      <c r="W30" s="3">
        <v>14</v>
      </c>
      <c r="X30">
        <v>71</v>
      </c>
      <c r="Y30" s="4">
        <v>994</v>
      </c>
      <c r="Z30" s="3">
        <v>95.424000000000007</v>
      </c>
    </row>
    <row r="31" spans="1:26" x14ac:dyDescent="0.4">
      <c r="A31">
        <v>1030</v>
      </c>
      <c r="B31" s="2">
        <v>41678</v>
      </c>
      <c r="C31">
        <v>8</v>
      </c>
      <c r="D31" t="s">
        <v>56</v>
      </c>
      <c r="E31" t="s">
        <v>57</v>
      </c>
      <c r="F31" t="s">
        <v>58</v>
      </c>
      <c r="G31" t="s">
        <v>59</v>
      </c>
      <c r="H31">
        <v>99999</v>
      </c>
      <c r="I31" t="s">
        <v>30</v>
      </c>
      <c r="J31" t="s">
        <v>60</v>
      </c>
      <c r="K31" t="s">
        <v>61</v>
      </c>
      <c r="L31" s="2">
        <v>41680</v>
      </c>
      <c r="M31" t="s">
        <v>33</v>
      </c>
      <c r="N31" t="s">
        <v>63</v>
      </c>
      <c r="O31" t="s">
        <v>57</v>
      </c>
      <c r="P31" t="s">
        <v>58</v>
      </c>
      <c r="Q31" t="s">
        <v>59</v>
      </c>
      <c r="R31">
        <v>99999</v>
      </c>
      <c r="S31" t="s">
        <v>30</v>
      </c>
      <c r="T31" t="s">
        <v>35</v>
      </c>
      <c r="U31" t="s">
        <v>88</v>
      </c>
      <c r="V31" t="s">
        <v>89</v>
      </c>
      <c r="W31" s="3">
        <v>40</v>
      </c>
      <c r="X31">
        <v>32</v>
      </c>
      <c r="Y31" s="4">
        <v>1280</v>
      </c>
      <c r="Z31" s="3">
        <v>129.28</v>
      </c>
    </row>
    <row r="32" spans="1:26" x14ac:dyDescent="0.4">
      <c r="A32">
        <v>1031</v>
      </c>
      <c r="B32" s="2">
        <v>41673</v>
      </c>
      <c r="C32">
        <v>3</v>
      </c>
      <c r="D32" t="s">
        <v>74</v>
      </c>
      <c r="E32" t="s">
        <v>75</v>
      </c>
      <c r="F32" t="s">
        <v>76</v>
      </c>
      <c r="G32" t="s">
        <v>77</v>
      </c>
      <c r="H32">
        <v>99999</v>
      </c>
      <c r="I32" t="s">
        <v>30</v>
      </c>
      <c r="J32" t="s">
        <v>31</v>
      </c>
      <c r="K32" t="s">
        <v>32</v>
      </c>
      <c r="L32" s="2">
        <v>41675</v>
      </c>
      <c r="M32" t="s">
        <v>33</v>
      </c>
      <c r="N32" t="s">
        <v>78</v>
      </c>
      <c r="O32" t="s">
        <v>75</v>
      </c>
      <c r="P32" t="s">
        <v>76</v>
      </c>
      <c r="Q32" t="s">
        <v>77</v>
      </c>
      <c r="R32">
        <v>99999</v>
      </c>
      <c r="S32" t="s">
        <v>30</v>
      </c>
      <c r="T32" t="s">
        <v>79</v>
      </c>
      <c r="U32" t="s">
        <v>135</v>
      </c>
      <c r="V32" t="s">
        <v>112</v>
      </c>
      <c r="W32">
        <v>10</v>
      </c>
      <c r="X32">
        <v>63</v>
      </c>
      <c r="Y32" s="4">
        <v>630</v>
      </c>
      <c r="Z32" s="3">
        <v>65.52</v>
      </c>
    </row>
    <row r="33" spans="1:26" x14ac:dyDescent="0.4">
      <c r="A33">
        <v>1032</v>
      </c>
      <c r="B33" s="2">
        <v>41673</v>
      </c>
      <c r="C33">
        <v>3</v>
      </c>
      <c r="D33" t="s">
        <v>74</v>
      </c>
      <c r="E33" t="s">
        <v>75</v>
      </c>
      <c r="F33" t="s">
        <v>76</v>
      </c>
      <c r="G33" t="s">
        <v>77</v>
      </c>
      <c r="H33">
        <v>99999</v>
      </c>
      <c r="I33" t="s">
        <v>30</v>
      </c>
      <c r="J33" t="s">
        <v>31</v>
      </c>
      <c r="K33" t="s">
        <v>32</v>
      </c>
      <c r="L33" s="2">
        <v>41675</v>
      </c>
      <c r="M33" t="s">
        <v>33</v>
      </c>
      <c r="N33" t="s">
        <v>78</v>
      </c>
      <c r="O33" t="s">
        <v>75</v>
      </c>
      <c r="P33" t="s">
        <v>76</v>
      </c>
      <c r="Q33" t="s">
        <v>77</v>
      </c>
      <c r="R33">
        <v>99999</v>
      </c>
      <c r="S33" t="s">
        <v>30</v>
      </c>
      <c r="T33" t="s">
        <v>79</v>
      </c>
      <c r="U33" t="s">
        <v>88</v>
      </c>
      <c r="V33" t="s">
        <v>89</v>
      </c>
      <c r="W33">
        <v>40</v>
      </c>
      <c r="X33">
        <v>30</v>
      </c>
      <c r="Y33" s="4">
        <v>1200</v>
      </c>
      <c r="Z33" s="3">
        <v>120</v>
      </c>
    </row>
    <row r="34" spans="1:26" x14ac:dyDescent="0.4">
      <c r="A34">
        <v>1033</v>
      </c>
      <c r="B34" s="2">
        <v>41676</v>
      </c>
      <c r="C34">
        <v>6</v>
      </c>
      <c r="D34" t="s">
        <v>82</v>
      </c>
      <c r="E34" t="s">
        <v>83</v>
      </c>
      <c r="F34" t="s">
        <v>84</v>
      </c>
      <c r="G34" t="s">
        <v>85</v>
      </c>
      <c r="H34">
        <v>99999</v>
      </c>
      <c r="I34" t="s">
        <v>30</v>
      </c>
      <c r="J34" t="s">
        <v>86</v>
      </c>
      <c r="K34" t="s">
        <v>61</v>
      </c>
      <c r="L34" s="2">
        <v>41678</v>
      </c>
      <c r="M34" t="s">
        <v>33</v>
      </c>
      <c r="N34" t="s">
        <v>87</v>
      </c>
      <c r="O34" t="s">
        <v>83</v>
      </c>
      <c r="P34" t="s">
        <v>84</v>
      </c>
      <c r="Q34" t="s">
        <v>85</v>
      </c>
      <c r="R34">
        <v>99999</v>
      </c>
      <c r="S34" t="s">
        <v>30</v>
      </c>
      <c r="T34" t="s">
        <v>48</v>
      </c>
      <c r="V34" t="s">
        <v>181</v>
      </c>
      <c r="Y34" s="4">
        <v>10</v>
      </c>
      <c r="Z34" s="3">
        <v>43</v>
      </c>
    </row>
    <row r="35" spans="1:26" x14ac:dyDescent="0.4">
      <c r="A35">
        <v>1034</v>
      </c>
      <c r="B35" s="2">
        <v>41698</v>
      </c>
      <c r="C35">
        <v>28</v>
      </c>
      <c r="D35" t="s">
        <v>90</v>
      </c>
      <c r="E35" t="s">
        <v>91</v>
      </c>
      <c r="F35" t="s">
        <v>92</v>
      </c>
      <c r="G35" t="s">
        <v>93</v>
      </c>
      <c r="H35">
        <v>99999</v>
      </c>
      <c r="I35" t="s">
        <v>30</v>
      </c>
      <c r="J35" t="s">
        <v>94</v>
      </c>
      <c r="K35" t="s">
        <v>95</v>
      </c>
      <c r="L35" s="2">
        <v>41700</v>
      </c>
      <c r="M35" t="s">
        <v>62</v>
      </c>
      <c r="N35" t="s">
        <v>96</v>
      </c>
      <c r="O35" t="s">
        <v>91</v>
      </c>
      <c r="P35" t="s">
        <v>92</v>
      </c>
      <c r="Q35" t="s">
        <v>93</v>
      </c>
      <c r="R35">
        <v>99999</v>
      </c>
      <c r="S35" t="s">
        <v>30</v>
      </c>
      <c r="T35" t="s">
        <v>35</v>
      </c>
      <c r="V35" t="s">
        <v>181</v>
      </c>
      <c r="Y35" s="4">
        <v>10</v>
      </c>
      <c r="Z35" s="3">
        <v>31</v>
      </c>
    </row>
    <row r="36" spans="1:26" x14ac:dyDescent="0.4">
      <c r="A36">
        <v>1035</v>
      </c>
      <c r="B36" s="2">
        <v>41678</v>
      </c>
      <c r="C36">
        <v>8</v>
      </c>
      <c r="D36" t="s">
        <v>56</v>
      </c>
      <c r="E36" t="s">
        <v>57</v>
      </c>
      <c r="F36" t="s">
        <v>58</v>
      </c>
      <c r="G36" t="s">
        <v>59</v>
      </c>
      <c r="H36">
        <v>99999</v>
      </c>
      <c r="I36" t="s">
        <v>30</v>
      </c>
      <c r="J36" t="s">
        <v>60</v>
      </c>
      <c r="K36" t="s">
        <v>61</v>
      </c>
      <c r="L36" s="2">
        <v>41680</v>
      </c>
      <c r="M36" t="s">
        <v>62</v>
      </c>
      <c r="N36" t="s">
        <v>63</v>
      </c>
      <c r="O36" t="s">
        <v>57</v>
      </c>
      <c r="P36" t="s">
        <v>58</v>
      </c>
      <c r="Q36" t="s">
        <v>59</v>
      </c>
      <c r="R36">
        <v>99999</v>
      </c>
      <c r="S36" t="s">
        <v>30</v>
      </c>
      <c r="T36" t="s">
        <v>35</v>
      </c>
      <c r="V36" t="s">
        <v>181</v>
      </c>
      <c r="Y36" s="4">
        <v>10</v>
      </c>
      <c r="Z36" s="3">
        <v>46</v>
      </c>
    </row>
    <row r="37" spans="1:26" x14ac:dyDescent="0.4">
      <c r="A37">
        <v>1036</v>
      </c>
      <c r="B37" s="2">
        <v>41680</v>
      </c>
      <c r="C37">
        <v>10</v>
      </c>
      <c r="D37" t="s">
        <v>97</v>
      </c>
      <c r="E37" t="s">
        <v>98</v>
      </c>
      <c r="F37" t="s">
        <v>99</v>
      </c>
      <c r="G37" t="s">
        <v>100</v>
      </c>
      <c r="H37">
        <v>99999</v>
      </c>
      <c r="I37" t="s">
        <v>30</v>
      </c>
      <c r="J37" t="s">
        <v>101</v>
      </c>
      <c r="K37" t="s">
        <v>45</v>
      </c>
      <c r="L37" s="2">
        <v>41682</v>
      </c>
      <c r="M37" t="s">
        <v>33</v>
      </c>
      <c r="N37" t="s">
        <v>102</v>
      </c>
      <c r="O37" t="s">
        <v>98</v>
      </c>
      <c r="P37" t="s">
        <v>99</v>
      </c>
      <c r="Q37" t="s">
        <v>100</v>
      </c>
      <c r="R37">
        <v>99999</v>
      </c>
      <c r="S37" t="s">
        <v>30</v>
      </c>
      <c r="T37" t="s">
        <v>48</v>
      </c>
      <c r="U37" t="s">
        <v>136</v>
      </c>
      <c r="V37" t="s">
        <v>39</v>
      </c>
      <c r="W37">
        <v>10</v>
      </c>
      <c r="X37">
        <v>47</v>
      </c>
      <c r="Y37" s="4">
        <v>470</v>
      </c>
      <c r="Z37" s="3">
        <v>48.88</v>
      </c>
    </row>
    <row r="38" spans="1:26" hidden="1" x14ac:dyDescent="0.4">
      <c r="A38">
        <v>1038</v>
      </c>
      <c r="B38" s="2">
        <v>41680</v>
      </c>
      <c r="C38">
        <v>10</v>
      </c>
      <c r="D38" t="s">
        <v>97</v>
      </c>
      <c r="E38" t="s">
        <v>98</v>
      </c>
      <c r="F38" t="s">
        <v>99</v>
      </c>
      <c r="G38" t="s">
        <v>100</v>
      </c>
      <c r="H38">
        <v>99999</v>
      </c>
      <c r="I38" t="s">
        <v>30</v>
      </c>
      <c r="J38" t="s">
        <v>101</v>
      </c>
      <c r="K38" t="s">
        <v>45</v>
      </c>
      <c r="M38" t="s">
        <v>46</v>
      </c>
      <c r="N38" t="s">
        <v>102</v>
      </c>
      <c r="O38" t="s">
        <v>98</v>
      </c>
      <c r="P38" t="s">
        <v>99</v>
      </c>
      <c r="Q38" t="s">
        <v>100</v>
      </c>
      <c r="R38">
        <v>99999</v>
      </c>
      <c r="S38" t="s">
        <v>30</v>
      </c>
      <c r="U38" t="s">
        <v>38</v>
      </c>
      <c r="V38" t="s">
        <v>39</v>
      </c>
      <c r="W38">
        <v>3.5</v>
      </c>
      <c r="X38">
        <v>49</v>
      </c>
      <c r="Y38" s="4">
        <v>171.5</v>
      </c>
      <c r="Z38" s="3">
        <v>16.464000000000002</v>
      </c>
    </row>
    <row r="39" spans="1:26" hidden="1" x14ac:dyDescent="0.4">
      <c r="A39">
        <v>1039</v>
      </c>
      <c r="B39" s="2">
        <v>41681</v>
      </c>
      <c r="C39">
        <v>11</v>
      </c>
      <c r="D39" t="s">
        <v>113</v>
      </c>
      <c r="E39" t="s">
        <v>114</v>
      </c>
      <c r="F39" t="s">
        <v>115</v>
      </c>
      <c r="G39" t="s">
        <v>116</v>
      </c>
      <c r="H39">
        <v>99999</v>
      </c>
      <c r="I39" t="s">
        <v>30</v>
      </c>
      <c r="J39" t="s">
        <v>94</v>
      </c>
      <c r="K39" t="s">
        <v>95</v>
      </c>
      <c r="M39" t="s">
        <v>62</v>
      </c>
      <c r="N39" t="s">
        <v>117</v>
      </c>
      <c r="O39" t="s">
        <v>114</v>
      </c>
      <c r="P39" t="s">
        <v>115</v>
      </c>
      <c r="Q39" t="s">
        <v>116</v>
      </c>
      <c r="R39">
        <v>99999</v>
      </c>
      <c r="S39" t="s">
        <v>30</v>
      </c>
      <c r="U39" t="s">
        <v>88</v>
      </c>
      <c r="V39" t="s">
        <v>89</v>
      </c>
      <c r="W39">
        <v>40</v>
      </c>
      <c r="X39">
        <v>72</v>
      </c>
      <c r="Y39" s="4">
        <v>2880</v>
      </c>
      <c r="Z39" s="3">
        <v>285.12</v>
      </c>
    </row>
    <row r="40" spans="1:26" hidden="1" x14ac:dyDescent="0.4">
      <c r="A40">
        <v>1040</v>
      </c>
      <c r="B40" s="2">
        <v>41671</v>
      </c>
      <c r="C40">
        <v>1</v>
      </c>
      <c r="D40" t="s">
        <v>118</v>
      </c>
      <c r="E40" t="s">
        <v>119</v>
      </c>
      <c r="F40" t="s">
        <v>120</v>
      </c>
      <c r="G40" t="s">
        <v>121</v>
      </c>
      <c r="H40">
        <v>99999</v>
      </c>
      <c r="I40" t="s">
        <v>30</v>
      </c>
      <c r="J40" t="s">
        <v>60</v>
      </c>
      <c r="K40" t="s">
        <v>61</v>
      </c>
      <c r="M40" t="s">
        <v>62</v>
      </c>
      <c r="N40" t="s">
        <v>122</v>
      </c>
      <c r="O40" t="s">
        <v>119</v>
      </c>
      <c r="P40" t="s">
        <v>120</v>
      </c>
      <c r="Q40" t="s">
        <v>121</v>
      </c>
      <c r="R40">
        <v>99999</v>
      </c>
      <c r="S40" t="s">
        <v>30</v>
      </c>
      <c r="U40" t="s">
        <v>123</v>
      </c>
      <c r="V40" t="s">
        <v>124</v>
      </c>
      <c r="W40">
        <v>18.399999999999999</v>
      </c>
      <c r="X40">
        <v>13</v>
      </c>
      <c r="Y40" s="4">
        <v>239.2</v>
      </c>
      <c r="Z40" s="3">
        <v>23.680800000000001</v>
      </c>
    </row>
    <row r="41" spans="1:26" x14ac:dyDescent="0.4">
      <c r="A41">
        <v>1041</v>
      </c>
      <c r="B41" s="2">
        <v>41698</v>
      </c>
      <c r="C41">
        <v>28</v>
      </c>
      <c r="D41" t="s">
        <v>90</v>
      </c>
      <c r="E41" t="s">
        <v>91</v>
      </c>
      <c r="F41" t="s">
        <v>92</v>
      </c>
      <c r="G41" t="s">
        <v>93</v>
      </c>
      <c r="H41">
        <v>99999</v>
      </c>
      <c r="I41" t="s">
        <v>30</v>
      </c>
      <c r="J41" t="s">
        <v>94</v>
      </c>
      <c r="K41" t="s">
        <v>95</v>
      </c>
      <c r="L41">
        <v>41700</v>
      </c>
      <c r="M41" t="s">
        <v>62</v>
      </c>
      <c r="N41" t="s">
        <v>96</v>
      </c>
      <c r="O41" t="s">
        <v>91</v>
      </c>
      <c r="P41" t="s">
        <v>92</v>
      </c>
      <c r="Q41" t="s">
        <v>93</v>
      </c>
      <c r="R41">
        <v>99999</v>
      </c>
      <c r="S41" t="s">
        <v>30</v>
      </c>
      <c r="T41" t="s">
        <v>48</v>
      </c>
      <c r="U41" t="s">
        <v>55</v>
      </c>
      <c r="V41" t="s">
        <v>37</v>
      </c>
      <c r="W41">
        <v>46</v>
      </c>
      <c r="X41">
        <v>32</v>
      </c>
      <c r="Y41" s="4">
        <v>1472</v>
      </c>
      <c r="Z41" s="3">
        <v>148.67200000000003</v>
      </c>
    </row>
    <row r="42" spans="1:26" x14ac:dyDescent="0.4">
      <c r="A42">
        <v>1042</v>
      </c>
      <c r="B42" s="2">
        <v>41679</v>
      </c>
      <c r="C42">
        <v>9</v>
      </c>
      <c r="D42" t="s">
        <v>125</v>
      </c>
      <c r="E42" t="s">
        <v>126</v>
      </c>
      <c r="F42" t="s">
        <v>127</v>
      </c>
      <c r="G42" t="s">
        <v>128</v>
      </c>
      <c r="H42">
        <v>99999</v>
      </c>
      <c r="I42" t="s">
        <v>30</v>
      </c>
      <c r="J42" t="s">
        <v>129</v>
      </c>
      <c r="K42" t="s">
        <v>32</v>
      </c>
      <c r="L42" s="2">
        <v>41681</v>
      </c>
      <c r="M42" t="s">
        <v>46</v>
      </c>
      <c r="N42" t="s">
        <v>130</v>
      </c>
      <c r="O42" t="s">
        <v>126</v>
      </c>
      <c r="P42" t="s">
        <v>127</v>
      </c>
      <c r="Q42" t="s">
        <v>128</v>
      </c>
      <c r="R42">
        <v>99999</v>
      </c>
      <c r="S42" t="s">
        <v>30</v>
      </c>
      <c r="T42" t="s">
        <v>35</v>
      </c>
      <c r="U42" t="s">
        <v>80</v>
      </c>
      <c r="V42" t="s">
        <v>81</v>
      </c>
      <c r="W42">
        <v>9.65</v>
      </c>
      <c r="X42">
        <v>27</v>
      </c>
      <c r="Y42" s="4">
        <v>260.55</v>
      </c>
      <c r="Z42" s="3">
        <v>24.752250000000004</v>
      </c>
    </row>
    <row r="43" spans="1:26" x14ac:dyDescent="0.4">
      <c r="A43">
        <v>1043</v>
      </c>
      <c r="B43" s="2">
        <v>41676</v>
      </c>
      <c r="C43">
        <v>6</v>
      </c>
      <c r="D43" t="s">
        <v>82</v>
      </c>
      <c r="E43" t="s">
        <v>83</v>
      </c>
      <c r="F43" t="s">
        <v>84</v>
      </c>
      <c r="G43" t="s">
        <v>85</v>
      </c>
      <c r="H43">
        <v>99999</v>
      </c>
      <c r="I43" t="s">
        <v>30</v>
      </c>
      <c r="J43" t="s">
        <v>86</v>
      </c>
      <c r="K43" t="s">
        <v>61</v>
      </c>
      <c r="L43" s="2">
        <v>41678</v>
      </c>
      <c r="M43" t="s">
        <v>33</v>
      </c>
      <c r="N43" t="s">
        <v>87</v>
      </c>
      <c r="O43" t="s">
        <v>83</v>
      </c>
      <c r="P43" t="s">
        <v>84</v>
      </c>
      <c r="Q43" t="s">
        <v>85</v>
      </c>
      <c r="R43">
        <v>99999</v>
      </c>
      <c r="S43" t="s">
        <v>30</v>
      </c>
      <c r="T43" t="s">
        <v>48</v>
      </c>
      <c r="U43" t="s">
        <v>72</v>
      </c>
      <c r="V43" t="s">
        <v>73</v>
      </c>
      <c r="W43">
        <v>12.75</v>
      </c>
      <c r="X43">
        <v>71</v>
      </c>
      <c r="Y43" s="4">
        <v>905.25</v>
      </c>
      <c r="Z43" s="3">
        <v>91.430250000000001</v>
      </c>
    </row>
    <row r="44" spans="1:26" x14ac:dyDescent="0.4">
      <c r="A44">
        <v>1044</v>
      </c>
      <c r="B44" s="2">
        <v>41678</v>
      </c>
      <c r="C44">
        <v>8</v>
      </c>
      <c r="D44" t="s">
        <v>56</v>
      </c>
      <c r="E44" t="s">
        <v>57</v>
      </c>
      <c r="F44" t="s">
        <v>58</v>
      </c>
      <c r="G44" t="s">
        <v>59</v>
      </c>
      <c r="H44">
        <v>99999</v>
      </c>
      <c r="I44" t="s">
        <v>30</v>
      </c>
      <c r="J44" t="s">
        <v>60</v>
      </c>
      <c r="K44" t="s">
        <v>61</v>
      </c>
      <c r="L44" s="2">
        <v>41680</v>
      </c>
      <c r="M44" t="s">
        <v>33</v>
      </c>
      <c r="N44" t="s">
        <v>63</v>
      </c>
      <c r="O44" t="s">
        <v>57</v>
      </c>
      <c r="P44" t="s">
        <v>58</v>
      </c>
      <c r="Q44" t="s">
        <v>59</v>
      </c>
      <c r="R44">
        <v>99999</v>
      </c>
      <c r="S44" t="s">
        <v>30</v>
      </c>
      <c r="T44" t="s">
        <v>35</v>
      </c>
      <c r="U44" t="s">
        <v>72</v>
      </c>
      <c r="V44" t="s">
        <v>73</v>
      </c>
      <c r="W44">
        <v>12.75</v>
      </c>
      <c r="X44">
        <v>13</v>
      </c>
      <c r="Y44" s="4">
        <v>165.75</v>
      </c>
      <c r="Z44" s="3">
        <v>15.746249999999998</v>
      </c>
    </row>
    <row r="45" spans="1:26" x14ac:dyDescent="0.4">
      <c r="A45">
        <v>1045</v>
      </c>
      <c r="B45" s="2">
        <v>41695</v>
      </c>
      <c r="C45">
        <v>25</v>
      </c>
      <c r="D45" t="s">
        <v>137</v>
      </c>
      <c r="E45" t="s">
        <v>138</v>
      </c>
      <c r="F45" t="s">
        <v>99</v>
      </c>
      <c r="G45" t="s">
        <v>100</v>
      </c>
      <c r="H45">
        <v>99999</v>
      </c>
      <c r="I45" t="s">
        <v>30</v>
      </c>
      <c r="J45" t="s">
        <v>101</v>
      </c>
      <c r="K45" t="s">
        <v>45</v>
      </c>
      <c r="L45" s="2">
        <v>41697</v>
      </c>
      <c r="M45" t="s">
        <v>46</v>
      </c>
      <c r="N45" t="s">
        <v>139</v>
      </c>
      <c r="O45" t="s">
        <v>138</v>
      </c>
      <c r="P45" t="s">
        <v>99</v>
      </c>
      <c r="Q45" t="s">
        <v>100</v>
      </c>
      <c r="R45">
        <v>99999</v>
      </c>
      <c r="S45" t="s">
        <v>30</v>
      </c>
      <c r="T45" t="s">
        <v>79</v>
      </c>
      <c r="U45" t="s">
        <v>111</v>
      </c>
      <c r="V45" t="s">
        <v>112</v>
      </c>
      <c r="W45">
        <v>22</v>
      </c>
      <c r="X45">
        <v>98</v>
      </c>
      <c r="Y45" s="4">
        <v>2156</v>
      </c>
      <c r="Z45" s="3">
        <v>204.82000000000002</v>
      </c>
    </row>
    <row r="46" spans="1:26" x14ac:dyDescent="0.4">
      <c r="A46">
        <v>1046</v>
      </c>
      <c r="B46" s="2">
        <v>41696</v>
      </c>
      <c r="C46">
        <v>26</v>
      </c>
      <c r="D46" t="s">
        <v>140</v>
      </c>
      <c r="E46" t="s">
        <v>141</v>
      </c>
      <c r="F46" t="s">
        <v>115</v>
      </c>
      <c r="G46" t="s">
        <v>116</v>
      </c>
      <c r="H46">
        <v>99999</v>
      </c>
      <c r="I46" t="s">
        <v>30</v>
      </c>
      <c r="J46" t="s">
        <v>94</v>
      </c>
      <c r="K46" t="s">
        <v>95</v>
      </c>
      <c r="L46" s="2">
        <v>41698</v>
      </c>
      <c r="M46" t="s">
        <v>62</v>
      </c>
      <c r="N46" t="s">
        <v>142</v>
      </c>
      <c r="O46" t="s">
        <v>141</v>
      </c>
      <c r="P46" t="s">
        <v>115</v>
      </c>
      <c r="Q46" t="s">
        <v>116</v>
      </c>
      <c r="R46">
        <v>99999</v>
      </c>
      <c r="S46" t="s">
        <v>30</v>
      </c>
      <c r="T46" t="s">
        <v>48</v>
      </c>
      <c r="U46" t="s">
        <v>109</v>
      </c>
      <c r="V46" t="s">
        <v>110</v>
      </c>
      <c r="W46">
        <v>25</v>
      </c>
      <c r="X46">
        <v>21</v>
      </c>
      <c r="Y46" s="4">
        <v>525</v>
      </c>
      <c r="Z46" s="3">
        <v>53.550000000000004</v>
      </c>
    </row>
    <row r="47" spans="1:26" x14ac:dyDescent="0.4">
      <c r="A47">
        <v>1047</v>
      </c>
      <c r="B47" s="2">
        <v>41699</v>
      </c>
      <c r="C47">
        <v>29</v>
      </c>
      <c r="D47" t="s">
        <v>66</v>
      </c>
      <c r="E47" t="s">
        <v>67</v>
      </c>
      <c r="F47" t="s">
        <v>68</v>
      </c>
      <c r="G47" t="s">
        <v>69</v>
      </c>
      <c r="H47">
        <v>99999</v>
      </c>
      <c r="I47" t="s">
        <v>30</v>
      </c>
      <c r="J47" t="s">
        <v>70</v>
      </c>
      <c r="K47" t="s">
        <v>32</v>
      </c>
      <c r="L47" s="2">
        <v>41701</v>
      </c>
      <c r="M47" t="s">
        <v>33</v>
      </c>
      <c r="N47" t="s">
        <v>71</v>
      </c>
      <c r="O47" t="s">
        <v>67</v>
      </c>
      <c r="P47" t="s">
        <v>68</v>
      </c>
      <c r="Q47" t="s">
        <v>69</v>
      </c>
      <c r="R47">
        <v>99999</v>
      </c>
      <c r="S47" t="s">
        <v>30</v>
      </c>
      <c r="T47" t="s">
        <v>35</v>
      </c>
      <c r="U47" t="s">
        <v>143</v>
      </c>
      <c r="V47" t="s">
        <v>144</v>
      </c>
      <c r="W47">
        <v>39</v>
      </c>
      <c r="X47">
        <v>26</v>
      </c>
      <c r="Y47" s="4">
        <v>1014</v>
      </c>
      <c r="Z47" s="3">
        <v>106.47000000000001</v>
      </c>
    </row>
    <row r="48" spans="1:26" x14ac:dyDescent="0.4">
      <c r="A48">
        <v>1048</v>
      </c>
      <c r="B48" s="2">
        <v>41676</v>
      </c>
      <c r="C48">
        <v>6</v>
      </c>
      <c r="D48" t="s">
        <v>82</v>
      </c>
      <c r="E48" t="s">
        <v>83</v>
      </c>
      <c r="F48" t="s">
        <v>84</v>
      </c>
      <c r="G48" t="s">
        <v>85</v>
      </c>
      <c r="H48">
        <v>99999</v>
      </c>
      <c r="I48" t="s">
        <v>30</v>
      </c>
      <c r="J48" t="s">
        <v>86</v>
      </c>
      <c r="K48" t="s">
        <v>61</v>
      </c>
      <c r="L48" s="2">
        <v>41678</v>
      </c>
      <c r="M48" t="s">
        <v>62</v>
      </c>
      <c r="N48" t="s">
        <v>87</v>
      </c>
      <c r="O48" t="s">
        <v>83</v>
      </c>
      <c r="P48" t="s">
        <v>84</v>
      </c>
      <c r="Q48" t="s">
        <v>85</v>
      </c>
      <c r="R48">
        <v>99999</v>
      </c>
      <c r="S48" t="s">
        <v>30</v>
      </c>
      <c r="T48" t="s">
        <v>35</v>
      </c>
      <c r="U48" t="s">
        <v>49</v>
      </c>
      <c r="V48" t="s">
        <v>39</v>
      </c>
      <c r="W48">
        <v>30</v>
      </c>
      <c r="X48">
        <v>96</v>
      </c>
      <c r="Y48" s="4">
        <v>2880</v>
      </c>
      <c r="Z48" s="3">
        <v>296.64</v>
      </c>
    </row>
    <row r="49" spans="1:26" x14ac:dyDescent="0.4">
      <c r="A49">
        <v>1049</v>
      </c>
      <c r="B49" s="2">
        <v>41676</v>
      </c>
      <c r="C49">
        <v>6</v>
      </c>
      <c r="D49" t="s">
        <v>82</v>
      </c>
      <c r="E49" t="s">
        <v>83</v>
      </c>
      <c r="F49" t="s">
        <v>84</v>
      </c>
      <c r="G49" t="s">
        <v>85</v>
      </c>
      <c r="H49">
        <v>99999</v>
      </c>
      <c r="I49" t="s">
        <v>30</v>
      </c>
      <c r="J49" t="s">
        <v>86</v>
      </c>
      <c r="K49" t="s">
        <v>61</v>
      </c>
      <c r="L49" s="2">
        <v>41678</v>
      </c>
      <c r="M49" t="s">
        <v>62</v>
      </c>
      <c r="N49" t="s">
        <v>87</v>
      </c>
      <c r="O49" t="s">
        <v>83</v>
      </c>
      <c r="P49" t="s">
        <v>84</v>
      </c>
      <c r="Q49" t="s">
        <v>85</v>
      </c>
      <c r="R49">
        <v>99999</v>
      </c>
      <c r="S49" t="s">
        <v>30</v>
      </c>
      <c r="T49" t="s">
        <v>35</v>
      </c>
      <c r="U49" t="s">
        <v>50</v>
      </c>
      <c r="V49" t="s">
        <v>39</v>
      </c>
      <c r="W49">
        <v>53</v>
      </c>
      <c r="X49">
        <v>16</v>
      </c>
      <c r="Y49" s="4">
        <v>848</v>
      </c>
      <c r="Z49" s="3">
        <v>88.192000000000021</v>
      </c>
    </row>
    <row r="50" spans="1:26" hidden="1" x14ac:dyDescent="0.4">
      <c r="A50">
        <v>1050</v>
      </c>
      <c r="B50" s="2">
        <v>41674</v>
      </c>
      <c r="C50">
        <v>4</v>
      </c>
      <c r="D50" t="s">
        <v>40</v>
      </c>
      <c r="E50" t="s">
        <v>41</v>
      </c>
      <c r="F50" t="s">
        <v>42</v>
      </c>
      <c r="G50" t="s">
        <v>43</v>
      </c>
      <c r="H50">
        <v>99999</v>
      </c>
      <c r="I50" t="s">
        <v>30</v>
      </c>
      <c r="J50" t="s">
        <v>44</v>
      </c>
      <c r="K50" t="s">
        <v>45</v>
      </c>
      <c r="L50" s="2"/>
      <c r="N50" t="s">
        <v>47</v>
      </c>
      <c r="O50" t="s">
        <v>41</v>
      </c>
      <c r="P50" t="s">
        <v>42</v>
      </c>
      <c r="Q50" t="s">
        <v>43</v>
      </c>
      <c r="R50">
        <v>99999</v>
      </c>
      <c r="S50" t="s">
        <v>30</v>
      </c>
      <c r="U50" t="s">
        <v>145</v>
      </c>
      <c r="V50" t="s">
        <v>132</v>
      </c>
      <c r="W50">
        <v>38</v>
      </c>
      <c r="X50">
        <v>96</v>
      </c>
      <c r="Y50" s="4">
        <v>3648</v>
      </c>
      <c r="Z50" s="3">
        <v>346.56</v>
      </c>
    </row>
    <row r="51" spans="1:26" hidden="1" x14ac:dyDescent="0.4">
      <c r="A51">
        <v>1051</v>
      </c>
      <c r="B51" s="2">
        <v>41673</v>
      </c>
      <c r="C51">
        <v>3</v>
      </c>
      <c r="D51" t="s">
        <v>74</v>
      </c>
      <c r="E51" t="s">
        <v>75</v>
      </c>
      <c r="F51" t="s">
        <v>76</v>
      </c>
      <c r="G51" t="s">
        <v>77</v>
      </c>
      <c r="H51">
        <v>99999</v>
      </c>
      <c r="I51" t="s">
        <v>30</v>
      </c>
      <c r="J51" t="s">
        <v>31</v>
      </c>
      <c r="K51" t="s">
        <v>32</v>
      </c>
      <c r="N51" t="s">
        <v>78</v>
      </c>
      <c r="O51" t="s">
        <v>75</v>
      </c>
      <c r="P51" t="s">
        <v>76</v>
      </c>
      <c r="Q51" t="s">
        <v>77</v>
      </c>
      <c r="R51">
        <v>99999</v>
      </c>
      <c r="S51" t="s">
        <v>30</v>
      </c>
      <c r="U51" t="s">
        <v>103</v>
      </c>
      <c r="V51" t="s">
        <v>37</v>
      </c>
      <c r="W51">
        <v>2.99</v>
      </c>
      <c r="X51">
        <v>75</v>
      </c>
      <c r="Y51" s="4">
        <v>224.25000000000003</v>
      </c>
      <c r="Z51" s="3">
        <v>23.097750000000005</v>
      </c>
    </row>
    <row r="52" spans="1:26" x14ac:dyDescent="0.4">
      <c r="A52">
        <v>1052</v>
      </c>
      <c r="B52" s="2">
        <v>41707</v>
      </c>
      <c r="C52">
        <v>9</v>
      </c>
      <c r="D52" t="s">
        <v>125</v>
      </c>
      <c r="E52" t="s">
        <v>126</v>
      </c>
      <c r="F52" t="s">
        <v>127</v>
      </c>
      <c r="G52" t="s">
        <v>128</v>
      </c>
      <c r="H52">
        <v>99999</v>
      </c>
      <c r="I52" t="s">
        <v>30</v>
      </c>
      <c r="J52" t="s">
        <v>129</v>
      </c>
      <c r="K52" t="s">
        <v>32</v>
      </c>
      <c r="L52">
        <v>41709</v>
      </c>
      <c r="M52" t="s">
        <v>46</v>
      </c>
      <c r="N52" t="s">
        <v>130</v>
      </c>
      <c r="O52" t="s">
        <v>126</v>
      </c>
      <c r="P52" t="s">
        <v>127</v>
      </c>
      <c r="Q52" t="s">
        <v>128</v>
      </c>
      <c r="R52">
        <v>99999</v>
      </c>
      <c r="S52" t="s">
        <v>30</v>
      </c>
      <c r="T52" t="s">
        <v>35</v>
      </c>
      <c r="U52" t="s">
        <v>131</v>
      </c>
      <c r="V52" t="s">
        <v>132</v>
      </c>
      <c r="W52">
        <v>19.5</v>
      </c>
      <c r="X52">
        <v>55</v>
      </c>
      <c r="Y52" s="4">
        <v>1072.5</v>
      </c>
      <c r="Z52" s="3">
        <v>108.32250000000001</v>
      </c>
    </row>
    <row r="53" spans="1:26" x14ac:dyDescent="0.4">
      <c r="A53">
        <v>1053</v>
      </c>
      <c r="B53" s="2">
        <v>41707</v>
      </c>
      <c r="C53">
        <v>9</v>
      </c>
      <c r="D53" t="s">
        <v>125</v>
      </c>
      <c r="E53" t="s">
        <v>126</v>
      </c>
      <c r="F53" t="s">
        <v>127</v>
      </c>
      <c r="G53" t="s">
        <v>128</v>
      </c>
      <c r="H53">
        <v>99999</v>
      </c>
      <c r="I53" t="s">
        <v>30</v>
      </c>
      <c r="J53" t="s">
        <v>129</v>
      </c>
      <c r="K53" t="s">
        <v>32</v>
      </c>
      <c r="L53" s="2">
        <v>41709</v>
      </c>
      <c r="M53" t="s">
        <v>46</v>
      </c>
      <c r="N53" t="s">
        <v>130</v>
      </c>
      <c r="O53" t="s">
        <v>126</v>
      </c>
      <c r="P53" t="s">
        <v>127</v>
      </c>
      <c r="Q53" t="s">
        <v>128</v>
      </c>
      <c r="R53">
        <v>99999</v>
      </c>
      <c r="S53" t="s">
        <v>30</v>
      </c>
      <c r="T53" t="s">
        <v>35</v>
      </c>
      <c r="U53" t="s">
        <v>133</v>
      </c>
      <c r="V53" t="s">
        <v>134</v>
      </c>
      <c r="W53" s="3">
        <v>34.799999999999997</v>
      </c>
      <c r="X53">
        <v>11</v>
      </c>
      <c r="Y53" s="4">
        <v>382.79999999999995</v>
      </c>
      <c r="Z53" s="3">
        <v>36.748799999999996</v>
      </c>
    </row>
    <row r="54" spans="1:26" x14ac:dyDescent="0.4">
      <c r="A54">
        <v>1054</v>
      </c>
      <c r="B54" s="2">
        <v>41704</v>
      </c>
      <c r="C54">
        <v>6</v>
      </c>
      <c r="D54" t="s">
        <v>82</v>
      </c>
      <c r="E54" t="s">
        <v>83</v>
      </c>
      <c r="F54" t="s">
        <v>84</v>
      </c>
      <c r="G54" t="s">
        <v>85</v>
      </c>
      <c r="H54">
        <v>99999</v>
      </c>
      <c r="I54" t="s">
        <v>30</v>
      </c>
      <c r="J54" t="s">
        <v>86</v>
      </c>
      <c r="K54" t="s">
        <v>61</v>
      </c>
      <c r="L54" s="2">
        <v>41706</v>
      </c>
      <c r="M54" t="s">
        <v>33</v>
      </c>
      <c r="N54" t="s">
        <v>87</v>
      </c>
      <c r="O54" t="s">
        <v>83</v>
      </c>
      <c r="P54" t="s">
        <v>84</v>
      </c>
      <c r="Q54" t="s">
        <v>85</v>
      </c>
      <c r="R54">
        <v>99999</v>
      </c>
      <c r="S54" t="s">
        <v>30</v>
      </c>
      <c r="T54" t="s">
        <v>48</v>
      </c>
      <c r="U54" t="s">
        <v>36</v>
      </c>
      <c r="V54" t="s">
        <v>37</v>
      </c>
      <c r="W54" s="3">
        <v>14</v>
      </c>
      <c r="X54">
        <v>53</v>
      </c>
      <c r="Y54" s="4">
        <v>742</v>
      </c>
      <c r="Z54" s="3">
        <v>71.974000000000004</v>
      </c>
    </row>
    <row r="55" spans="1:26" x14ac:dyDescent="0.4">
      <c r="A55">
        <v>1055</v>
      </c>
      <c r="B55" s="2">
        <v>41706</v>
      </c>
      <c r="C55">
        <v>8</v>
      </c>
      <c r="D55" t="s">
        <v>56</v>
      </c>
      <c r="E55" t="s">
        <v>57</v>
      </c>
      <c r="F55" t="s">
        <v>58</v>
      </c>
      <c r="G55" t="s">
        <v>59</v>
      </c>
      <c r="H55">
        <v>99999</v>
      </c>
      <c r="I55" t="s">
        <v>30</v>
      </c>
      <c r="J55" t="s">
        <v>60</v>
      </c>
      <c r="K55" t="s">
        <v>61</v>
      </c>
      <c r="L55" s="2">
        <v>41708</v>
      </c>
      <c r="M55" t="s">
        <v>33</v>
      </c>
      <c r="N55" t="s">
        <v>63</v>
      </c>
      <c r="O55" t="s">
        <v>57</v>
      </c>
      <c r="P55" t="s">
        <v>58</v>
      </c>
      <c r="Q55" t="s">
        <v>59</v>
      </c>
      <c r="R55">
        <v>99999</v>
      </c>
      <c r="S55" t="s">
        <v>30</v>
      </c>
      <c r="T55" t="s">
        <v>35</v>
      </c>
      <c r="U55" t="s">
        <v>88</v>
      </c>
      <c r="V55" t="s">
        <v>89</v>
      </c>
      <c r="W55" s="3">
        <v>40</v>
      </c>
      <c r="X55">
        <v>85</v>
      </c>
      <c r="Y55" s="4">
        <v>3400</v>
      </c>
      <c r="Z55" s="3">
        <v>357</v>
      </c>
    </row>
    <row r="56" spans="1:26" x14ac:dyDescent="0.4">
      <c r="A56">
        <v>1056</v>
      </c>
      <c r="B56" s="2">
        <v>41706</v>
      </c>
      <c r="C56">
        <v>8</v>
      </c>
      <c r="D56" t="s">
        <v>56</v>
      </c>
      <c r="E56" t="s">
        <v>57</v>
      </c>
      <c r="F56" t="s">
        <v>58</v>
      </c>
      <c r="G56" t="s">
        <v>59</v>
      </c>
      <c r="H56">
        <v>99999</v>
      </c>
      <c r="I56" t="s">
        <v>30</v>
      </c>
      <c r="J56" t="s">
        <v>60</v>
      </c>
      <c r="K56" t="s">
        <v>61</v>
      </c>
      <c r="L56" s="2">
        <v>41708</v>
      </c>
      <c r="M56" t="s">
        <v>33</v>
      </c>
      <c r="N56" t="s">
        <v>63</v>
      </c>
      <c r="O56" t="s">
        <v>57</v>
      </c>
      <c r="P56" t="s">
        <v>58</v>
      </c>
      <c r="Q56" t="s">
        <v>59</v>
      </c>
      <c r="R56">
        <v>99999</v>
      </c>
      <c r="S56" t="s">
        <v>30</v>
      </c>
      <c r="T56" t="s">
        <v>35</v>
      </c>
      <c r="U56" t="s">
        <v>64</v>
      </c>
      <c r="V56" t="s">
        <v>65</v>
      </c>
      <c r="W56" s="3">
        <v>9.1999999999999993</v>
      </c>
      <c r="X56">
        <v>97</v>
      </c>
      <c r="Y56" s="4">
        <v>892.4</v>
      </c>
      <c r="Z56" s="3">
        <v>91.024800000000013</v>
      </c>
    </row>
    <row r="57" spans="1:26" x14ac:dyDescent="0.4">
      <c r="A57">
        <v>1057</v>
      </c>
      <c r="B57" s="2">
        <v>41723</v>
      </c>
      <c r="C57">
        <v>25</v>
      </c>
      <c r="D57" t="s">
        <v>137</v>
      </c>
      <c r="E57" t="s">
        <v>138</v>
      </c>
      <c r="F57" t="s">
        <v>99</v>
      </c>
      <c r="G57" t="s">
        <v>100</v>
      </c>
      <c r="H57">
        <v>99999</v>
      </c>
      <c r="I57" t="s">
        <v>30</v>
      </c>
      <c r="J57" t="s">
        <v>101</v>
      </c>
      <c r="K57" t="s">
        <v>45</v>
      </c>
      <c r="L57" s="2">
        <v>41725</v>
      </c>
      <c r="M57" t="s">
        <v>46</v>
      </c>
      <c r="N57" t="s">
        <v>139</v>
      </c>
      <c r="O57" t="s">
        <v>138</v>
      </c>
      <c r="P57" t="s">
        <v>99</v>
      </c>
      <c r="Q57" t="s">
        <v>100</v>
      </c>
      <c r="R57">
        <v>99999</v>
      </c>
      <c r="S57" t="s">
        <v>30</v>
      </c>
      <c r="T57" t="s">
        <v>79</v>
      </c>
      <c r="U57" t="s">
        <v>146</v>
      </c>
      <c r="V57" t="s">
        <v>65</v>
      </c>
      <c r="W57" s="3">
        <v>10</v>
      </c>
      <c r="X57">
        <v>46</v>
      </c>
      <c r="Y57" s="4">
        <v>460</v>
      </c>
      <c r="Z57" s="3">
        <v>46.46</v>
      </c>
    </row>
    <row r="58" spans="1:26" x14ac:dyDescent="0.4">
      <c r="A58">
        <v>1058</v>
      </c>
      <c r="B58" s="2">
        <v>41724</v>
      </c>
      <c r="C58">
        <v>26</v>
      </c>
      <c r="D58" t="s">
        <v>140</v>
      </c>
      <c r="E58" t="s">
        <v>141</v>
      </c>
      <c r="F58" t="s">
        <v>115</v>
      </c>
      <c r="G58" t="s">
        <v>116</v>
      </c>
      <c r="H58">
        <v>99999</v>
      </c>
      <c r="I58" t="s">
        <v>30</v>
      </c>
      <c r="J58" t="s">
        <v>94</v>
      </c>
      <c r="K58" t="s">
        <v>95</v>
      </c>
      <c r="L58" s="2">
        <v>41726</v>
      </c>
      <c r="M58" t="s">
        <v>62</v>
      </c>
      <c r="N58" t="s">
        <v>142</v>
      </c>
      <c r="O58" t="s">
        <v>141</v>
      </c>
      <c r="P58" t="s">
        <v>115</v>
      </c>
      <c r="Q58" t="s">
        <v>116</v>
      </c>
      <c r="R58">
        <v>99999</v>
      </c>
      <c r="S58" t="s">
        <v>30</v>
      </c>
      <c r="T58" t="s">
        <v>48</v>
      </c>
      <c r="U58" t="s">
        <v>147</v>
      </c>
      <c r="V58" t="s">
        <v>148</v>
      </c>
      <c r="W58" s="3">
        <v>21.35</v>
      </c>
      <c r="X58">
        <v>97</v>
      </c>
      <c r="Y58" s="4">
        <v>2070.9500000000003</v>
      </c>
      <c r="Z58" s="3">
        <v>196.74025</v>
      </c>
    </row>
    <row r="59" spans="1:26" x14ac:dyDescent="0.4">
      <c r="A59">
        <v>1059</v>
      </c>
      <c r="B59" s="2">
        <v>41724</v>
      </c>
      <c r="C59">
        <v>26</v>
      </c>
      <c r="D59" t="s">
        <v>140</v>
      </c>
      <c r="E59" t="s">
        <v>141</v>
      </c>
      <c r="F59" t="s">
        <v>115</v>
      </c>
      <c r="G59" t="s">
        <v>116</v>
      </c>
      <c r="H59">
        <v>99999</v>
      </c>
      <c r="I59" t="s">
        <v>30</v>
      </c>
      <c r="J59" t="s">
        <v>94</v>
      </c>
      <c r="K59" t="s">
        <v>95</v>
      </c>
      <c r="L59" s="2">
        <v>41726</v>
      </c>
      <c r="M59" t="s">
        <v>62</v>
      </c>
      <c r="N59" t="s">
        <v>142</v>
      </c>
      <c r="O59" t="s">
        <v>141</v>
      </c>
      <c r="P59" t="s">
        <v>115</v>
      </c>
      <c r="Q59" t="s">
        <v>116</v>
      </c>
      <c r="R59">
        <v>99999</v>
      </c>
      <c r="S59" t="s">
        <v>30</v>
      </c>
      <c r="T59" t="s">
        <v>48</v>
      </c>
      <c r="U59" t="s">
        <v>80</v>
      </c>
      <c r="V59" t="s">
        <v>81</v>
      </c>
      <c r="W59" s="3">
        <v>9.65</v>
      </c>
      <c r="X59">
        <v>97</v>
      </c>
      <c r="Y59" s="4">
        <v>936.05000000000007</v>
      </c>
      <c r="Z59" s="3">
        <v>95.477100000000021</v>
      </c>
    </row>
    <row r="60" spans="1:26" x14ac:dyDescent="0.4">
      <c r="A60">
        <v>1060</v>
      </c>
      <c r="B60" s="2">
        <v>41724</v>
      </c>
      <c r="C60">
        <v>26</v>
      </c>
      <c r="D60" t="s">
        <v>140</v>
      </c>
      <c r="E60" t="s">
        <v>141</v>
      </c>
      <c r="F60" t="s">
        <v>115</v>
      </c>
      <c r="G60" t="s">
        <v>116</v>
      </c>
      <c r="H60">
        <v>99999</v>
      </c>
      <c r="I60" t="s">
        <v>30</v>
      </c>
      <c r="J60" t="s">
        <v>94</v>
      </c>
      <c r="K60" t="s">
        <v>95</v>
      </c>
      <c r="L60" s="2">
        <v>41726</v>
      </c>
      <c r="M60" t="s">
        <v>62</v>
      </c>
      <c r="N60" t="s">
        <v>142</v>
      </c>
      <c r="O60" t="s">
        <v>141</v>
      </c>
      <c r="P60" t="s">
        <v>115</v>
      </c>
      <c r="Q60" t="s">
        <v>116</v>
      </c>
      <c r="R60">
        <v>99999</v>
      </c>
      <c r="S60" t="s">
        <v>30</v>
      </c>
      <c r="T60" t="s">
        <v>48</v>
      </c>
      <c r="U60" t="s">
        <v>123</v>
      </c>
      <c r="V60" t="s">
        <v>124</v>
      </c>
      <c r="W60" s="3">
        <v>18.399999999999999</v>
      </c>
      <c r="X60">
        <v>65</v>
      </c>
      <c r="Y60" s="4">
        <v>1196</v>
      </c>
      <c r="Z60" s="3">
        <v>123.18800000000002</v>
      </c>
    </row>
    <row r="61" spans="1:26" x14ac:dyDescent="0.4">
      <c r="A61">
        <v>1061</v>
      </c>
      <c r="B61" s="2">
        <v>41727</v>
      </c>
      <c r="C61">
        <v>29</v>
      </c>
      <c r="D61" t="s">
        <v>66</v>
      </c>
      <c r="E61" t="s">
        <v>67</v>
      </c>
      <c r="F61" t="s">
        <v>68</v>
      </c>
      <c r="G61" t="s">
        <v>69</v>
      </c>
      <c r="H61">
        <v>99999</v>
      </c>
      <c r="I61" t="s">
        <v>30</v>
      </c>
      <c r="J61" t="s">
        <v>70</v>
      </c>
      <c r="K61" t="s">
        <v>32</v>
      </c>
      <c r="L61" s="2">
        <v>41729</v>
      </c>
      <c r="M61" t="s">
        <v>33</v>
      </c>
      <c r="N61" t="s">
        <v>71</v>
      </c>
      <c r="O61" t="s">
        <v>67</v>
      </c>
      <c r="P61" t="s">
        <v>68</v>
      </c>
      <c r="Q61" t="s">
        <v>69</v>
      </c>
      <c r="R61">
        <v>99999</v>
      </c>
      <c r="S61" t="s">
        <v>30</v>
      </c>
      <c r="T61" t="s">
        <v>35</v>
      </c>
      <c r="U61" t="s">
        <v>36</v>
      </c>
      <c r="V61" t="s">
        <v>37</v>
      </c>
      <c r="W61" s="3">
        <v>14</v>
      </c>
      <c r="X61">
        <v>72</v>
      </c>
      <c r="Y61" s="4">
        <v>1008</v>
      </c>
      <c r="Z61" s="3">
        <v>100.80000000000001</v>
      </c>
    </row>
    <row r="62" spans="1:26" x14ac:dyDescent="0.4">
      <c r="A62">
        <v>1062</v>
      </c>
      <c r="B62" s="2">
        <v>41704</v>
      </c>
      <c r="C62">
        <v>6</v>
      </c>
      <c r="D62" t="s">
        <v>82</v>
      </c>
      <c r="E62" t="s">
        <v>83</v>
      </c>
      <c r="F62" t="s">
        <v>84</v>
      </c>
      <c r="G62" t="s">
        <v>85</v>
      </c>
      <c r="H62">
        <v>99999</v>
      </c>
      <c r="I62" t="s">
        <v>30</v>
      </c>
      <c r="J62" t="s">
        <v>86</v>
      </c>
      <c r="K62" t="s">
        <v>61</v>
      </c>
      <c r="L62" s="2">
        <v>41706</v>
      </c>
      <c r="M62" t="s">
        <v>62</v>
      </c>
      <c r="N62" t="s">
        <v>87</v>
      </c>
      <c r="O62" t="s">
        <v>83</v>
      </c>
      <c r="P62" t="s">
        <v>84</v>
      </c>
      <c r="Q62" t="s">
        <v>85</v>
      </c>
      <c r="R62">
        <v>99999</v>
      </c>
      <c r="S62" t="s">
        <v>30</v>
      </c>
      <c r="T62" t="s">
        <v>35</v>
      </c>
      <c r="U62" t="s">
        <v>72</v>
      </c>
      <c r="V62" t="s">
        <v>73</v>
      </c>
      <c r="W62" s="3">
        <v>12.75</v>
      </c>
      <c r="X62">
        <v>16</v>
      </c>
      <c r="Y62" s="4">
        <v>204</v>
      </c>
      <c r="Z62" s="3">
        <v>20.196000000000002</v>
      </c>
    </row>
    <row r="63" spans="1:26" x14ac:dyDescent="0.4">
      <c r="A63">
        <v>1064</v>
      </c>
      <c r="B63" s="2">
        <v>41702</v>
      </c>
      <c r="C63">
        <v>4</v>
      </c>
      <c r="D63" t="s">
        <v>40</v>
      </c>
      <c r="E63" t="s">
        <v>41</v>
      </c>
      <c r="F63" t="s">
        <v>42</v>
      </c>
      <c r="G63" t="s">
        <v>43</v>
      </c>
      <c r="H63">
        <v>99999</v>
      </c>
      <c r="I63" t="s">
        <v>30</v>
      </c>
      <c r="J63" t="s">
        <v>44</v>
      </c>
      <c r="K63" t="s">
        <v>45</v>
      </c>
      <c r="L63" s="2">
        <v>41704</v>
      </c>
      <c r="M63" t="s">
        <v>46</v>
      </c>
      <c r="N63" t="s">
        <v>47</v>
      </c>
      <c r="O63" t="s">
        <v>41</v>
      </c>
      <c r="P63" t="s">
        <v>42</v>
      </c>
      <c r="Q63" t="s">
        <v>43</v>
      </c>
      <c r="R63">
        <v>99999</v>
      </c>
      <c r="S63" t="s">
        <v>30</v>
      </c>
      <c r="T63" t="s">
        <v>48</v>
      </c>
      <c r="U63" t="s">
        <v>149</v>
      </c>
      <c r="V63" t="s">
        <v>110</v>
      </c>
      <c r="W63" s="3">
        <v>81</v>
      </c>
      <c r="X63">
        <v>77</v>
      </c>
      <c r="Y63" s="4">
        <v>6237</v>
      </c>
      <c r="Z63" s="3">
        <v>642.41100000000006</v>
      </c>
    </row>
    <row r="64" spans="1:26" x14ac:dyDescent="0.4">
      <c r="A64">
        <v>1065</v>
      </c>
      <c r="B64" s="2">
        <v>41702</v>
      </c>
      <c r="C64">
        <v>4</v>
      </c>
      <c r="D64" t="s">
        <v>40</v>
      </c>
      <c r="E64" t="s">
        <v>41</v>
      </c>
      <c r="F64" t="s">
        <v>42</v>
      </c>
      <c r="G64" t="s">
        <v>43</v>
      </c>
      <c r="H64">
        <v>99999</v>
      </c>
      <c r="I64" t="s">
        <v>30</v>
      </c>
      <c r="J64" t="s">
        <v>44</v>
      </c>
      <c r="K64" t="s">
        <v>45</v>
      </c>
      <c r="L64" s="2">
        <v>41704</v>
      </c>
      <c r="M64" t="s">
        <v>46</v>
      </c>
      <c r="N64" t="s">
        <v>47</v>
      </c>
      <c r="O64" t="s">
        <v>41</v>
      </c>
      <c r="P64" t="s">
        <v>42</v>
      </c>
      <c r="Q64" t="s">
        <v>43</v>
      </c>
      <c r="R64">
        <v>99999</v>
      </c>
      <c r="S64" t="s">
        <v>30</v>
      </c>
      <c r="T64" t="s">
        <v>48</v>
      </c>
      <c r="U64" t="s">
        <v>150</v>
      </c>
      <c r="V64" t="s">
        <v>151</v>
      </c>
      <c r="W64">
        <v>7</v>
      </c>
      <c r="X64">
        <v>37</v>
      </c>
      <c r="Y64" s="4">
        <v>259</v>
      </c>
      <c r="Z64" s="3">
        <v>24.605</v>
      </c>
    </row>
    <row r="65" spans="1:26" x14ac:dyDescent="0.4">
      <c r="A65">
        <v>1067</v>
      </c>
      <c r="B65" s="2">
        <v>41706</v>
      </c>
      <c r="C65">
        <v>8</v>
      </c>
      <c r="D65" t="s">
        <v>56</v>
      </c>
      <c r="E65" t="s">
        <v>57</v>
      </c>
      <c r="F65" t="s">
        <v>58</v>
      </c>
      <c r="G65" t="s">
        <v>59</v>
      </c>
      <c r="H65">
        <v>99999</v>
      </c>
      <c r="I65" t="s">
        <v>30</v>
      </c>
      <c r="J65" t="s">
        <v>60</v>
      </c>
      <c r="K65" t="s">
        <v>61</v>
      </c>
      <c r="L65" s="2">
        <v>41708</v>
      </c>
      <c r="M65" t="s">
        <v>62</v>
      </c>
      <c r="N65" t="s">
        <v>63</v>
      </c>
      <c r="O65" t="s">
        <v>57</v>
      </c>
      <c r="P65" t="s">
        <v>58</v>
      </c>
      <c r="Q65" t="s">
        <v>59</v>
      </c>
      <c r="R65">
        <v>99999</v>
      </c>
      <c r="S65" t="s">
        <v>30</v>
      </c>
      <c r="T65" t="s">
        <v>48</v>
      </c>
      <c r="U65" t="s">
        <v>133</v>
      </c>
      <c r="V65" t="s">
        <v>134</v>
      </c>
      <c r="W65">
        <v>34.799999999999997</v>
      </c>
      <c r="X65">
        <v>63</v>
      </c>
      <c r="Y65" s="4">
        <v>2192.3999999999996</v>
      </c>
      <c r="Z65" s="3">
        <v>217.04759999999999</v>
      </c>
    </row>
    <row r="66" spans="1:26" x14ac:dyDescent="0.4">
      <c r="A66">
        <v>1070</v>
      </c>
      <c r="B66" s="2">
        <v>41701</v>
      </c>
      <c r="C66">
        <v>3</v>
      </c>
      <c r="D66" t="s">
        <v>74</v>
      </c>
      <c r="E66" t="s">
        <v>75</v>
      </c>
      <c r="F66" t="s">
        <v>76</v>
      </c>
      <c r="G66" t="s">
        <v>77</v>
      </c>
      <c r="H66">
        <v>99999</v>
      </c>
      <c r="I66" t="s">
        <v>30</v>
      </c>
      <c r="J66" t="s">
        <v>31</v>
      </c>
      <c r="K66" t="s">
        <v>32</v>
      </c>
      <c r="L66" s="2">
        <v>41703</v>
      </c>
      <c r="M66" t="s">
        <v>33</v>
      </c>
      <c r="N66" t="s">
        <v>78</v>
      </c>
      <c r="O66" t="s">
        <v>75</v>
      </c>
      <c r="P66" t="s">
        <v>76</v>
      </c>
      <c r="Q66" t="s">
        <v>77</v>
      </c>
      <c r="R66">
        <v>99999</v>
      </c>
      <c r="S66" t="s">
        <v>30</v>
      </c>
      <c r="T66" t="s">
        <v>79</v>
      </c>
      <c r="U66" t="s">
        <v>135</v>
      </c>
      <c r="V66" t="s">
        <v>112</v>
      </c>
      <c r="W66">
        <v>10</v>
      </c>
      <c r="X66">
        <v>48</v>
      </c>
      <c r="Y66" s="4">
        <v>480</v>
      </c>
      <c r="Z66" s="3">
        <v>48</v>
      </c>
    </row>
    <row r="67" spans="1:26" x14ac:dyDescent="0.4">
      <c r="A67">
        <v>1071</v>
      </c>
      <c r="B67" s="2">
        <v>41701</v>
      </c>
      <c r="C67">
        <v>3</v>
      </c>
      <c r="D67" t="s">
        <v>74</v>
      </c>
      <c r="E67" t="s">
        <v>75</v>
      </c>
      <c r="F67" t="s">
        <v>76</v>
      </c>
      <c r="G67" t="s">
        <v>77</v>
      </c>
      <c r="H67">
        <v>99999</v>
      </c>
      <c r="I67" t="s">
        <v>30</v>
      </c>
      <c r="J67" t="s">
        <v>31</v>
      </c>
      <c r="K67" t="s">
        <v>32</v>
      </c>
      <c r="L67" s="2">
        <v>41703</v>
      </c>
      <c r="M67" t="s">
        <v>33</v>
      </c>
      <c r="N67" t="s">
        <v>78</v>
      </c>
      <c r="O67" t="s">
        <v>75</v>
      </c>
      <c r="P67" t="s">
        <v>76</v>
      </c>
      <c r="Q67" t="s">
        <v>77</v>
      </c>
      <c r="R67">
        <v>99999</v>
      </c>
      <c r="S67" t="s">
        <v>30</v>
      </c>
      <c r="T67" t="s">
        <v>79</v>
      </c>
      <c r="U67" t="s">
        <v>88</v>
      </c>
      <c r="V67" t="s">
        <v>89</v>
      </c>
      <c r="W67">
        <v>40</v>
      </c>
      <c r="X67">
        <v>71</v>
      </c>
      <c r="Y67" s="4">
        <v>2840</v>
      </c>
      <c r="Z67" s="3">
        <v>295.36</v>
      </c>
    </row>
    <row r="68" spans="1:26" x14ac:dyDescent="0.4">
      <c r="A68">
        <v>1075</v>
      </c>
      <c r="B68" s="2">
        <v>41708</v>
      </c>
      <c r="C68">
        <v>10</v>
      </c>
      <c r="D68" t="s">
        <v>97</v>
      </c>
      <c r="E68" t="s">
        <v>98</v>
      </c>
      <c r="F68" t="s">
        <v>99</v>
      </c>
      <c r="G68" t="s">
        <v>100</v>
      </c>
      <c r="H68">
        <v>99999</v>
      </c>
      <c r="I68" t="s">
        <v>30</v>
      </c>
      <c r="J68" t="s">
        <v>101</v>
      </c>
      <c r="K68" t="s">
        <v>45</v>
      </c>
      <c r="L68" s="2">
        <v>41710</v>
      </c>
      <c r="M68" t="s">
        <v>33</v>
      </c>
      <c r="N68" t="s">
        <v>102</v>
      </c>
      <c r="O68" t="s">
        <v>98</v>
      </c>
      <c r="P68" t="s">
        <v>99</v>
      </c>
      <c r="Q68" t="s">
        <v>100</v>
      </c>
      <c r="R68">
        <v>99999</v>
      </c>
      <c r="S68" t="s">
        <v>30</v>
      </c>
      <c r="T68" t="s">
        <v>48</v>
      </c>
      <c r="U68" t="s">
        <v>136</v>
      </c>
      <c r="V68" t="s">
        <v>39</v>
      </c>
      <c r="W68">
        <v>10</v>
      </c>
      <c r="X68">
        <v>55</v>
      </c>
      <c r="Y68" s="4">
        <v>550</v>
      </c>
      <c r="Z68" s="3">
        <v>55</v>
      </c>
    </row>
    <row r="69" spans="1:26" hidden="1" x14ac:dyDescent="0.4">
      <c r="A69">
        <v>1077</v>
      </c>
      <c r="B69" s="2">
        <v>41708</v>
      </c>
      <c r="C69">
        <v>10</v>
      </c>
      <c r="D69" t="s">
        <v>97</v>
      </c>
      <c r="E69" t="s">
        <v>98</v>
      </c>
      <c r="F69" t="s">
        <v>99</v>
      </c>
      <c r="G69" t="s">
        <v>100</v>
      </c>
      <c r="H69">
        <v>99999</v>
      </c>
      <c r="I69" t="s">
        <v>30</v>
      </c>
      <c r="J69" t="s">
        <v>101</v>
      </c>
      <c r="K69" t="s">
        <v>45</v>
      </c>
      <c r="L69" s="2"/>
      <c r="M69" t="s">
        <v>46</v>
      </c>
      <c r="N69" t="s">
        <v>102</v>
      </c>
      <c r="O69" t="s">
        <v>98</v>
      </c>
      <c r="P69" t="s">
        <v>99</v>
      </c>
      <c r="Q69" t="s">
        <v>100</v>
      </c>
      <c r="R69">
        <v>99999</v>
      </c>
      <c r="S69" t="s">
        <v>30</v>
      </c>
      <c r="U69" t="s">
        <v>38</v>
      </c>
      <c r="V69" t="s">
        <v>39</v>
      </c>
      <c r="W69">
        <v>3.5</v>
      </c>
      <c r="X69">
        <v>21</v>
      </c>
      <c r="Y69" s="4">
        <v>73.5</v>
      </c>
      <c r="Z69" s="3">
        <v>7.3500000000000005</v>
      </c>
    </row>
    <row r="70" spans="1:26" hidden="1" x14ac:dyDescent="0.4">
      <c r="A70">
        <v>1078</v>
      </c>
      <c r="B70" s="2">
        <v>41709</v>
      </c>
      <c r="C70">
        <v>11</v>
      </c>
      <c r="D70" t="s">
        <v>113</v>
      </c>
      <c r="E70" t="s">
        <v>114</v>
      </c>
      <c r="F70" t="s">
        <v>115</v>
      </c>
      <c r="G70" t="s">
        <v>116</v>
      </c>
      <c r="H70">
        <v>99999</v>
      </c>
      <c r="I70" t="s">
        <v>30</v>
      </c>
      <c r="J70" t="s">
        <v>94</v>
      </c>
      <c r="K70" t="s">
        <v>95</v>
      </c>
      <c r="L70" s="2"/>
      <c r="M70" t="s">
        <v>62</v>
      </c>
      <c r="N70" t="s">
        <v>117</v>
      </c>
      <c r="O70" t="s">
        <v>114</v>
      </c>
      <c r="P70" t="s">
        <v>115</v>
      </c>
      <c r="Q70" t="s">
        <v>116</v>
      </c>
      <c r="R70">
        <v>99999</v>
      </c>
      <c r="S70" t="s">
        <v>30</v>
      </c>
      <c r="U70" t="s">
        <v>88</v>
      </c>
      <c r="V70" t="s">
        <v>89</v>
      </c>
      <c r="W70">
        <v>40</v>
      </c>
      <c r="X70">
        <v>67</v>
      </c>
      <c r="Y70" s="4">
        <v>2680</v>
      </c>
      <c r="Z70" s="3">
        <v>270.68</v>
      </c>
    </row>
    <row r="71" spans="1:26" hidden="1" x14ac:dyDescent="0.4">
      <c r="A71">
        <v>1079</v>
      </c>
      <c r="B71" s="2">
        <v>41699</v>
      </c>
      <c r="C71">
        <v>1</v>
      </c>
      <c r="D71" t="s">
        <v>118</v>
      </c>
      <c r="E71" t="s">
        <v>119</v>
      </c>
      <c r="F71" t="s">
        <v>120</v>
      </c>
      <c r="G71" t="s">
        <v>121</v>
      </c>
      <c r="H71">
        <v>99999</v>
      </c>
      <c r="I71" t="s">
        <v>30</v>
      </c>
      <c r="J71" t="s">
        <v>60</v>
      </c>
      <c r="K71" t="s">
        <v>61</v>
      </c>
      <c r="L71" s="2"/>
      <c r="M71" t="s">
        <v>62</v>
      </c>
      <c r="N71" t="s">
        <v>122</v>
      </c>
      <c r="O71" t="s">
        <v>119</v>
      </c>
      <c r="P71" t="s">
        <v>120</v>
      </c>
      <c r="Q71" t="s">
        <v>121</v>
      </c>
      <c r="R71">
        <v>99999</v>
      </c>
      <c r="S71" t="s">
        <v>30</v>
      </c>
      <c r="U71" t="s">
        <v>123</v>
      </c>
      <c r="V71" t="s">
        <v>124</v>
      </c>
      <c r="W71">
        <v>18.399999999999999</v>
      </c>
      <c r="X71">
        <v>75</v>
      </c>
      <c r="Y71" s="4">
        <v>1380</v>
      </c>
      <c r="Z71" s="3">
        <v>138</v>
      </c>
    </row>
    <row r="72" spans="1:26" x14ac:dyDescent="0.4">
      <c r="A72">
        <v>1080</v>
      </c>
      <c r="B72" s="2">
        <v>41726</v>
      </c>
      <c r="C72">
        <v>28</v>
      </c>
      <c r="D72" t="s">
        <v>90</v>
      </c>
      <c r="E72" t="s">
        <v>91</v>
      </c>
      <c r="F72" t="s">
        <v>92</v>
      </c>
      <c r="G72" t="s">
        <v>93</v>
      </c>
      <c r="H72">
        <v>99999</v>
      </c>
      <c r="I72" t="s">
        <v>30</v>
      </c>
      <c r="J72" t="s">
        <v>94</v>
      </c>
      <c r="K72" t="s">
        <v>95</v>
      </c>
      <c r="L72" s="2">
        <v>41728</v>
      </c>
      <c r="M72" t="s">
        <v>62</v>
      </c>
      <c r="N72" t="s">
        <v>96</v>
      </c>
      <c r="O72" t="s">
        <v>91</v>
      </c>
      <c r="P72" t="s">
        <v>92</v>
      </c>
      <c r="Q72" t="s">
        <v>93</v>
      </c>
      <c r="R72">
        <v>99999</v>
      </c>
      <c r="S72" t="s">
        <v>30</v>
      </c>
      <c r="T72" t="s">
        <v>48</v>
      </c>
      <c r="U72" t="s">
        <v>55</v>
      </c>
      <c r="V72" t="s">
        <v>37</v>
      </c>
      <c r="W72">
        <v>46</v>
      </c>
      <c r="X72">
        <v>17</v>
      </c>
      <c r="Y72" s="4">
        <v>782</v>
      </c>
      <c r="Z72" s="3">
        <v>80.546000000000006</v>
      </c>
    </row>
    <row r="73" spans="1:26" x14ac:dyDescent="0.4">
      <c r="A73">
        <v>1081</v>
      </c>
      <c r="B73" s="2">
        <v>41733</v>
      </c>
      <c r="C73">
        <v>4</v>
      </c>
      <c r="D73" t="s">
        <v>40</v>
      </c>
      <c r="E73" t="s">
        <v>41</v>
      </c>
      <c r="F73" t="s">
        <v>42</v>
      </c>
      <c r="G73" t="s">
        <v>43</v>
      </c>
      <c r="H73">
        <v>99999</v>
      </c>
      <c r="I73" t="s">
        <v>30</v>
      </c>
      <c r="J73" t="s">
        <v>44</v>
      </c>
      <c r="K73" t="s">
        <v>45</v>
      </c>
      <c r="L73" s="2">
        <v>41735</v>
      </c>
      <c r="M73" t="s">
        <v>46</v>
      </c>
      <c r="N73" t="s">
        <v>47</v>
      </c>
      <c r="O73" t="s">
        <v>41</v>
      </c>
      <c r="P73" t="s">
        <v>42</v>
      </c>
      <c r="Q73" t="s">
        <v>43</v>
      </c>
      <c r="R73">
        <v>99999</v>
      </c>
      <c r="S73" t="s">
        <v>30</v>
      </c>
      <c r="T73" t="s">
        <v>48</v>
      </c>
      <c r="U73" t="s">
        <v>38</v>
      </c>
      <c r="V73" t="s">
        <v>39</v>
      </c>
      <c r="W73">
        <v>3.5</v>
      </c>
      <c r="X73">
        <v>48</v>
      </c>
      <c r="Y73" s="4">
        <v>168</v>
      </c>
      <c r="Z73" s="3">
        <v>16.295999999999999</v>
      </c>
    </row>
    <row r="74" spans="1:26" x14ac:dyDescent="0.4">
      <c r="A74">
        <v>1082</v>
      </c>
      <c r="B74" s="2">
        <v>41741</v>
      </c>
      <c r="C74">
        <v>12</v>
      </c>
      <c r="D74" t="s">
        <v>51</v>
      </c>
      <c r="E74" t="s">
        <v>52</v>
      </c>
      <c r="F74" t="s">
        <v>28</v>
      </c>
      <c r="G74" t="s">
        <v>29</v>
      </c>
      <c r="H74">
        <v>99999</v>
      </c>
      <c r="I74" t="s">
        <v>30</v>
      </c>
      <c r="J74" t="s">
        <v>31</v>
      </c>
      <c r="K74" t="s">
        <v>32</v>
      </c>
      <c r="L74" s="2">
        <v>41743</v>
      </c>
      <c r="M74" t="s">
        <v>33</v>
      </c>
      <c r="N74" t="s">
        <v>53</v>
      </c>
      <c r="O74" t="s">
        <v>52</v>
      </c>
      <c r="P74" t="s">
        <v>28</v>
      </c>
      <c r="Q74" t="s">
        <v>29</v>
      </c>
      <c r="R74">
        <v>99999</v>
      </c>
      <c r="S74" t="s">
        <v>30</v>
      </c>
      <c r="T74" t="s">
        <v>48</v>
      </c>
      <c r="U74" t="s">
        <v>54</v>
      </c>
      <c r="V74" t="s">
        <v>37</v>
      </c>
      <c r="W74">
        <v>18</v>
      </c>
      <c r="X74">
        <v>74</v>
      </c>
      <c r="Y74" s="4">
        <v>1332</v>
      </c>
      <c r="Z74" s="3">
        <v>137.19600000000003</v>
      </c>
    </row>
    <row r="75" spans="1:26" x14ac:dyDescent="0.4">
      <c r="A75">
        <v>1083</v>
      </c>
      <c r="B75" s="2">
        <v>41741</v>
      </c>
      <c r="C75">
        <v>12</v>
      </c>
      <c r="D75" t="s">
        <v>51</v>
      </c>
      <c r="E75" t="s">
        <v>52</v>
      </c>
      <c r="F75" t="s">
        <v>28</v>
      </c>
      <c r="G75" t="s">
        <v>29</v>
      </c>
      <c r="H75">
        <v>99999</v>
      </c>
      <c r="I75" t="s">
        <v>30</v>
      </c>
      <c r="J75" t="s">
        <v>31</v>
      </c>
      <c r="K75" t="s">
        <v>32</v>
      </c>
      <c r="L75" s="2">
        <v>41743</v>
      </c>
      <c r="M75" t="s">
        <v>33</v>
      </c>
      <c r="N75" t="s">
        <v>53</v>
      </c>
      <c r="O75" t="s">
        <v>52</v>
      </c>
      <c r="P75" t="s">
        <v>28</v>
      </c>
      <c r="Q75" t="s">
        <v>29</v>
      </c>
      <c r="R75">
        <v>99999</v>
      </c>
      <c r="S75" t="s">
        <v>30</v>
      </c>
      <c r="T75" t="s">
        <v>48</v>
      </c>
      <c r="U75" t="s">
        <v>55</v>
      </c>
      <c r="V75" t="s">
        <v>37</v>
      </c>
      <c r="W75">
        <v>46</v>
      </c>
      <c r="X75">
        <v>96</v>
      </c>
      <c r="Y75" s="4">
        <v>4416</v>
      </c>
      <c r="Z75" s="3">
        <v>428.35200000000003</v>
      </c>
    </row>
    <row r="76" spans="1:26" x14ac:dyDescent="0.4">
      <c r="A76">
        <v>1084</v>
      </c>
      <c r="B76" s="2">
        <v>41737</v>
      </c>
      <c r="C76">
        <v>8</v>
      </c>
      <c r="D76" t="s">
        <v>56</v>
      </c>
      <c r="E76" t="s">
        <v>57</v>
      </c>
      <c r="F76" t="s">
        <v>58</v>
      </c>
      <c r="G76" t="s">
        <v>59</v>
      </c>
      <c r="H76">
        <v>99999</v>
      </c>
      <c r="I76" t="s">
        <v>30</v>
      </c>
      <c r="J76" t="s">
        <v>60</v>
      </c>
      <c r="K76" t="s">
        <v>61</v>
      </c>
      <c r="L76" s="2">
        <v>41739</v>
      </c>
      <c r="M76" t="s">
        <v>62</v>
      </c>
      <c r="N76" t="s">
        <v>63</v>
      </c>
      <c r="O76" t="s">
        <v>57</v>
      </c>
      <c r="P76" t="s">
        <v>58</v>
      </c>
      <c r="Q76" t="s">
        <v>59</v>
      </c>
      <c r="R76">
        <v>99999</v>
      </c>
      <c r="S76" t="s">
        <v>30</v>
      </c>
      <c r="T76" t="s">
        <v>48</v>
      </c>
      <c r="U76" t="s">
        <v>64</v>
      </c>
      <c r="V76" t="s">
        <v>65</v>
      </c>
      <c r="W76">
        <v>9.1999999999999993</v>
      </c>
      <c r="X76">
        <v>12</v>
      </c>
      <c r="Y76" s="4">
        <v>110.39999999999999</v>
      </c>
      <c r="Z76" s="3">
        <v>11.3712</v>
      </c>
    </row>
    <row r="77" spans="1:26" x14ac:dyDescent="0.4">
      <c r="A77">
        <v>1085</v>
      </c>
      <c r="B77" s="2">
        <v>41733</v>
      </c>
      <c r="C77">
        <v>4</v>
      </c>
      <c r="D77" t="s">
        <v>40</v>
      </c>
      <c r="E77" t="s">
        <v>41</v>
      </c>
      <c r="F77" t="s">
        <v>42</v>
      </c>
      <c r="G77" t="s">
        <v>43</v>
      </c>
      <c r="H77">
        <v>99999</v>
      </c>
      <c r="I77" t="s">
        <v>30</v>
      </c>
      <c r="J77" t="s">
        <v>44</v>
      </c>
      <c r="K77" t="s">
        <v>45</v>
      </c>
      <c r="L77">
        <v>41735</v>
      </c>
      <c r="M77" t="s">
        <v>62</v>
      </c>
      <c r="N77" t="s">
        <v>47</v>
      </c>
      <c r="O77" t="s">
        <v>41</v>
      </c>
      <c r="P77" t="s">
        <v>42</v>
      </c>
      <c r="Q77" t="s">
        <v>43</v>
      </c>
      <c r="R77">
        <v>99999</v>
      </c>
      <c r="S77" t="s">
        <v>30</v>
      </c>
      <c r="T77" t="s">
        <v>35</v>
      </c>
      <c r="U77" t="s">
        <v>64</v>
      </c>
      <c r="V77" t="s">
        <v>65</v>
      </c>
      <c r="W77">
        <v>9.1999999999999993</v>
      </c>
      <c r="X77">
        <v>62</v>
      </c>
      <c r="Y77" s="4">
        <v>570.4</v>
      </c>
      <c r="Z77" s="3">
        <v>58.751199999999997</v>
      </c>
    </row>
    <row r="78" spans="1:26" x14ac:dyDescent="0.4">
      <c r="A78">
        <v>1086</v>
      </c>
      <c r="B78" s="2">
        <v>41758</v>
      </c>
      <c r="C78">
        <v>29</v>
      </c>
      <c r="D78" t="s">
        <v>66</v>
      </c>
      <c r="E78" t="s">
        <v>67</v>
      </c>
      <c r="F78" t="s">
        <v>68</v>
      </c>
      <c r="G78" t="s">
        <v>69</v>
      </c>
      <c r="H78">
        <v>99999</v>
      </c>
      <c r="I78" t="s">
        <v>30</v>
      </c>
      <c r="J78" t="s">
        <v>70</v>
      </c>
      <c r="K78" t="s">
        <v>32</v>
      </c>
      <c r="L78">
        <v>41760</v>
      </c>
      <c r="M78" t="s">
        <v>33</v>
      </c>
      <c r="N78" t="s">
        <v>71</v>
      </c>
      <c r="O78" t="s">
        <v>67</v>
      </c>
      <c r="P78" t="s">
        <v>68</v>
      </c>
      <c r="Q78" t="s">
        <v>69</v>
      </c>
      <c r="R78">
        <v>99999</v>
      </c>
      <c r="S78" t="s">
        <v>30</v>
      </c>
      <c r="T78" t="s">
        <v>35</v>
      </c>
      <c r="U78" t="s">
        <v>72</v>
      </c>
      <c r="V78" t="s">
        <v>73</v>
      </c>
      <c r="W78">
        <v>12.75</v>
      </c>
      <c r="X78">
        <v>35</v>
      </c>
      <c r="Y78" s="4">
        <v>446.25</v>
      </c>
      <c r="Z78" s="3">
        <v>45.963750000000005</v>
      </c>
    </row>
    <row r="79" spans="1:26" x14ac:dyDescent="0.4">
      <c r="A79">
        <v>1087</v>
      </c>
      <c r="B79" s="2">
        <v>41732</v>
      </c>
      <c r="C79">
        <v>3</v>
      </c>
      <c r="D79" t="s">
        <v>74</v>
      </c>
      <c r="E79" t="s">
        <v>75</v>
      </c>
      <c r="F79" t="s">
        <v>76</v>
      </c>
      <c r="G79" t="s">
        <v>77</v>
      </c>
      <c r="H79">
        <v>99999</v>
      </c>
      <c r="I79" t="s">
        <v>30</v>
      </c>
      <c r="J79" t="s">
        <v>31</v>
      </c>
      <c r="K79" t="s">
        <v>32</v>
      </c>
      <c r="L79">
        <v>41734</v>
      </c>
      <c r="M79" t="s">
        <v>33</v>
      </c>
      <c r="N79" t="s">
        <v>78</v>
      </c>
      <c r="O79" t="s">
        <v>75</v>
      </c>
      <c r="P79" t="s">
        <v>76</v>
      </c>
      <c r="Q79" t="s">
        <v>77</v>
      </c>
      <c r="R79">
        <v>99999</v>
      </c>
      <c r="S79" t="s">
        <v>30</v>
      </c>
      <c r="T79" t="s">
        <v>79</v>
      </c>
      <c r="U79" t="s">
        <v>80</v>
      </c>
      <c r="V79" t="s">
        <v>81</v>
      </c>
      <c r="W79">
        <v>9.65</v>
      </c>
      <c r="X79">
        <v>95</v>
      </c>
      <c r="Y79" s="4">
        <v>916.75</v>
      </c>
      <c r="Z79" s="3">
        <v>91.675000000000011</v>
      </c>
    </row>
    <row r="80" spans="1:26" x14ac:dyDescent="0.4">
      <c r="A80">
        <v>1088</v>
      </c>
      <c r="B80" s="2">
        <v>41735</v>
      </c>
      <c r="C80">
        <v>6</v>
      </c>
      <c r="D80" t="s">
        <v>82</v>
      </c>
      <c r="E80" t="s">
        <v>83</v>
      </c>
      <c r="F80" t="s">
        <v>84</v>
      </c>
      <c r="G80" t="s">
        <v>85</v>
      </c>
      <c r="H80">
        <v>99999</v>
      </c>
      <c r="I80" t="s">
        <v>30</v>
      </c>
      <c r="J80" t="s">
        <v>86</v>
      </c>
      <c r="K80" t="s">
        <v>61</v>
      </c>
      <c r="L80">
        <v>41737</v>
      </c>
      <c r="M80" t="s">
        <v>33</v>
      </c>
      <c r="N80" t="s">
        <v>87</v>
      </c>
      <c r="O80" t="s">
        <v>83</v>
      </c>
      <c r="P80" t="s">
        <v>84</v>
      </c>
      <c r="Q80" t="s">
        <v>85</v>
      </c>
      <c r="R80">
        <v>99999</v>
      </c>
      <c r="S80" t="s">
        <v>30</v>
      </c>
      <c r="T80" t="s">
        <v>48</v>
      </c>
      <c r="U80" t="s">
        <v>88</v>
      </c>
      <c r="V80" t="s">
        <v>89</v>
      </c>
      <c r="W80">
        <v>40</v>
      </c>
      <c r="X80">
        <v>17</v>
      </c>
      <c r="Y80" s="4">
        <v>680</v>
      </c>
      <c r="Z80" s="3">
        <v>68.680000000000007</v>
      </c>
    </row>
    <row r="81" spans="1:26" x14ac:dyDescent="0.4">
      <c r="A81">
        <v>1089</v>
      </c>
      <c r="B81" s="2">
        <v>41757</v>
      </c>
      <c r="C81">
        <v>28</v>
      </c>
      <c r="D81" t="s">
        <v>90</v>
      </c>
      <c r="E81" t="s">
        <v>91</v>
      </c>
      <c r="F81" t="s">
        <v>92</v>
      </c>
      <c r="G81" t="s">
        <v>93</v>
      </c>
      <c r="H81">
        <v>99999</v>
      </c>
      <c r="I81" t="s">
        <v>30</v>
      </c>
      <c r="J81" t="s">
        <v>94</v>
      </c>
      <c r="K81" t="s">
        <v>95</v>
      </c>
      <c r="L81" s="2">
        <v>41759</v>
      </c>
      <c r="M81" t="s">
        <v>62</v>
      </c>
      <c r="N81" t="s">
        <v>96</v>
      </c>
      <c r="O81" t="s">
        <v>91</v>
      </c>
      <c r="P81" t="s">
        <v>92</v>
      </c>
      <c r="Q81" t="s">
        <v>93</v>
      </c>
      <c r="R81">
        <v>99999</v>
      </c>
      <c r="S81" t="s">
        <v>30</v>
      </c>
      <c r="T81" t="s">
        <v>35</v>
      </c>
      <c r="U81" t="s">
        <v>55</v>
      </c>
      <c r="V81" t="s">
        <v>37</v>
      </c>
      <c r="W81">
        <v>46</v>
      </c>
      <c r="X81">
        <v>96</v>
      </c>
      <c r="Y81" s="4">
        <v>4416</v>
      </c>
      <c r="Z81" s="3">
        <v>463.68000000000006</v>
      </c>
    </row>
    <row r="82" spans="1:26" x14ac:dyDescent="0.4">
      <c r="A82">
        <v>1090</v>
      </c>
      <c r="B82" s="2">
        <v>41737</v>
      </c>
      <c r="C82">
        <v>8</v>
      </c>
      <c r="D82" t="s">
        <v>56</v>
      </c>
      <c r="E82" t="s">
        <v>57</v>
      </c>
      <c r="F82" t="s">
        <v>58</v>
      </c>
      <c r="G82" t="s">
        <v>59</v>
      </c>
      <c r="H82">
        <v>99999</v>
      </c>
      <c r="I82" t="s">
        <v>30</v>
      </c>
      <c r="J82" t="s">
        <v>60</v>
      </c>
      <c r="K82" t="s">
        <v>61</v>
      </c>
      <c r="L82" s="2">
        <v>41739</v>
      </c>
      <c r="M82" t="s">
        <v>62</v>
      </c>
      <c r="N82" t="s">
        <v>63</v>
      </c>
      <c r="O82" t="s">
        <v>57</v>
      </c>
      <c r="P82" t="s">
        <v>58</v>
      </c>
      <c r="Q82" t="s">
        <v>59</v>
      </c>
      <c r="R82">
        <v>99999</v>
      </c>
      <c r="S82" t="s">
        <v>30</v>
      </c>
      <c r="T82" t="s">
        <v>35</v>
      </c>
      <c r="U82" t="s">
        <v>72</v>
      </c>
      <c r="V82" t="s">
        <v>73</v>
      </c>
      <c r="W82" s="3">
        <v>12.75</v>
      </c>
      <c r="X82">
        <v>83</v>
      </c>
      <c r="Y82" s="4">
        <v>1058.25</v>
      </c>
      <c r="Z82" s="3">
        <v>102.65025</v>
      </c>
    </row>
    <row r="83" spans="1:26" x14ac:dyDescent="0.4">
      <c r="A83">
        <v>1091</v>
      </c>
      <c r="B83" s="2">
        <v>41739</v>
      </c>
      <c r="C83">
        <v>10</v>
      </c>
      <c r="D83" t="s">
        <v>97</v>
      </c>
      <c r="E83" t="s">
        <v>98</v>
      </c>
      <c r="F83" t="s">
        <v>99</v>
      </c>
      <c r="G83" t="s">
        <v>100</v>
      </c>
      <c r="H83">
        <v>99999</v>
      </c>
      <c r="I83" t="s">
        <v>30</v>
      </c>
      <c r="J83" t="s">
        <v>101</v>
      </c>
      <c r="K83" t="s">
        <v>45</v>
      </c>
      <c r="L83" s="2">
        <v>41741</v>
      </c>
      <c r="M83" t="s">
        <v>33</v>
      </c>
      <c r="N83" t="s">
        <v>102</v>
      </c>
      <c r="O83" t="s">
        <v>98</v>
      </c>
      <c r="P83" t="s">
        <v>99</v>
      </c>
      <c r="Q83" t="s">
        <v>100</v>
      </c>
      <c r="R83">
        <v>99999</v>
      </c>
      <c r="S83" t="s">
        <v>30</v>
      </c>
      <c r="T83" t="s">
        <v>48</v>
      </c>
      <c r="U83" t="s">
        <v>103</v>
      </c>
      <c r="V83" t="s">
        <v>37</v>
      </c>
      <c r="W83" s="3">
        <v>2.99</v>
      </c>
      <c r="X83">
        <v>88</v>
      </c>
      <c r="Y83" s="4">
        <v>263.12</v>
      </c>
      <c r="Z83" s="3">
        <v>26.04888</v>
      </c>
    </row>
    <row r="84" spans="1:26" hidden="1" x14ac:dyDescent="0.4">
      <c r="A84">
        <v>1092</v>
      </c>
      <c r="B84" s="2">
        <v>41736</v>
      </c>
      <c r="C84">
        <v>7</v>
      </c>
      <c r="D84" t="s">
        <v>104</v>
      </c>
      <c r="E84" t="s">
        <v>105</v>
      </c>
      <c r="F84" t="s">
        <v>106</v>
      </c>
      <c r="G84" t="s">
        <v>107</v>
      </c>
      <c r="H84">
        <v>99999</v>
      </c>
      <c r="I84" t="s">
        <v>30</v>
      </c>
      <c r="J84" t="s">
        <v>60</v>
      </c>
      <c r="K84" t="s">
        <v>61</v>
      </c>
      <c r="L84" s="2"/>
      <c r="N84" t="s">
        <v>108</v>
      </c>
      <c r="O84" t="s">
        <v>105</v>
      </c>
      <c r="P84" t="s">
        <v>106</v>
      </c>
      <c r="Q84" t="s">
        <v>107</v>
      </c>
      <c r="R84">
        <v>99999</v>
      </c>
      <c r="S84" t="s">
        <v>30</v>
      </c>
      <c r="U84" t="s">
        <v>55</v>
      </c>
      <c r="V84" t="s">
        <v>37</v>
      </c>
      <c r="W84" s="3">
        <v>46</v>
      </c>
      <c r="X84">
        <v>59</v>
      </c>
      <c r="Y84" s="4">
        <v>2714</v>
      </c>
      <c r="Z84" s="3">
        <v>284.97000000000003</v>
      </c>
    </row>
    <row r="85" spans="1:26" hidden="1" x14ac:dyDescent="0.4">
      <c r="A85">
        <v>1093</v>
      </c>
      <c r="B85" s="2">
        <v>41739</v>
      </c>
      <c r="C85">
        <v>10</v>
      </c>
      <c r="D85" t="s">
        <v>97</v>
      </c>
      <c r="E85" t="s">
        <v>98</v>
      </c>
      <c r="F85" t="s">
        <v>99</v>
      </c>
      <c r="G85" t="s">
        <v>100</v>
      </c>
      <c r="H85">
        <v>99999</v>
      </c>
      <c r="I85" t="s">
        <v>30</v>
      </c>
      <c r="J85" t="s">
        <v>101</v>
      </c>
      <c r="K85" t="s">
        <v>45</v>
      </c>
      <c r="L85" s="2">
        <v>41741</v>
      </c>
      <c r="M85" t="s">
        <v>46</v>
      </c>
      <c r="N85" t="s">
        <v>102</v>
      </c>
      <c r="O85" t="s">
        <v>98</v>
      </c>
      <c r="P85" t="s">
        <v>99</v>
      </c>
      <c r="Q85" t="s">
        <v>100</v>
      </c>
      <c r="R85">
        <v>99999</v>
      </c>
      <c r="S85" t="s">
        <v>30</v>
      </c>
      <c r="U85" t="s">
        <v>109</v>
      </c>
      <c r="V85" t="s">
        <v>110</v>
      </c>
      <c r="W85" s="3">
        <v>25</v>
      </c>
      <c r="X85">
        <v>27</v>
      </c>
      <c r="Y85" s="4">
        <v>675</v>
      </c>
      <c r="Z85" s="3">
        <v>68.849999999999994</v>
      </c>
    </row>
    <row r="86" spans="1:26" hidden="1" x14ac:dyDescent="0.4">
      <c r="A86">
        <v>1094</v>
      </c>
      <c r="B86" s="2">
        <v>41739</v>
      </c>
      <c r="C86">
        <v>10</v>
      </c>
      <c r="D86" t="s">
        <v>97</v>
      </c>
      <c r="E86" t="s">
        <v>98</v>
      </c>
      <c r="F86" t="s">
        <v>99</v>
      </c>
      <c r="G86" t="s">
        <v>100</v>
      </c>
      <c r="H86">
        <v>99999</v>
      </c>
      <c r="I86" t="s">
        <v>30</v>
      </c>
      <c r="J86" t="s">
        <v>101</v>
      </c>
      <c r="K86" t="s">
        <v>45</v>
      </c>
      <c r="L86" s="2">
        <v>41741</v>
      </c>
      <c r="M86" t="s">
        <v>46</v>
      </c>
      <c r="N86" t="s">
        <v>102</v>
      </c>
      <c r="O86" t="s">
        <v>98</v>
      </c>
      <c r="P86" t="s">
        <v>99</v>
      </c>
      <c r="Q86" t="s">
        <v>100</v>
      </c>
      <c r="R86">
        <v>99999</v>
      </c>
      <c r="S86" t="s">
        <v>30</v>
      </c>
      <c r="U86" t="s">
        <v>111</v>
      </c>
      <c r="V86" t="s">
        <v>112</v>
      </c>
      <c r="W86" s="3">
        <v>22</v>
      </c>
      <c r="X86">
        <v>37</v>
      </c>
      <c r="Y86" s="4">
        <v>814</v>
      </c>
      <c r="Z86" s="3">
        <v>85.470000000000013</v>
      </c>
    </row>
    <row r="87" spans="1:26" hidden="1" x14ac:dyDescent="0.4">
      <c r="A87">
        <v>1095</v>
      </c>
      <c r="B87" s="2">
        <v>41739</v>
      </c>
      <c r="C87">
        <v>10</v>
      </c>
      <c r="D87" t="s">
        <v>97</v>
      </c>
      <c r="E87" t="s">
        <v>98</v>
      </c>
      <c r="F87" t="s">
        <v>99</v>
      </c>
      <c r="G87" t="s">
        <v>100</v>
      </c>
      <c r="H87">
        <v>99999</v>
      </c>
      <c r="I87" t="s">
        <v>30</v>
      </c>
      <c r="J87" t="s">
        <v>101</v>
      </c>
      <c r="K87" t="s">
        <v>45</v>
      </c>
      <c r="L87" s="2">
        <v>41741</v>
      </c>
      <c r="M87" t="s">
        <v>46</v>
      </c>
      <c r="N87" t="s">
        <v>102</v>
      </c>
      <c r="O87" t="s">
        <v>98</v>
      </c>
      <c r="P87" t="s">
        <v>99</v>
      </c>
      <c r="Q87" t="s">
        <v>100</v>
      </c>
      <c r="R87">
        <v>99999</v>
      </c>
      <c r="S87" t="s">
        <v>30</v>
      </c>
      <c r="U87" t="s">
        <v>64</v>
      </c>
      <c r="V87" t="s">
        <v>65</v>
      </c>
      <c r="W87" s="3">
        <v>9.1999999999999993</v>
      </c>
      <c r="X87">
        <v>75</v>
      </c>
      <c r="Y87" s="4">
        <v>690</v>
      </c>
      <c r="Z87" s="3">
        <v>69</v>
      </c>
    </row>
    <row r="88" spans="1:26" hidden="1" x14ac:dyDescent="0.4">
      <c r="A88">
        <v>1096</v>
      </c>
      <c r="B88" s="2">
        <v>41740</v>
      </c>
      <c r="C88">
        <v>11</v>
      </c>
      <c r="D88" t="s">
        <v>113</v>
      </c>
      <c r="E88" t="s">
        <v>114</v>
      </c>
      <c r="F88" t="s">
        <v>115</v>
      </c>
      <c r="G88" t="s">
        <v>116</v>
      </c>
      <c r="H88">
        <v>99999</v>
      </c>
      <c r="I88" t="s">
        <v>30</v>
      </c>
      <c r="J88" t="s">
        <v>94</v>
      </c>
      <c r="K88" t="s">
        <v>95</v>
      </c>
      <c r="L88" s="2"/>
      <c r="M88" t="s">
        <v>62</v>
      </c>
      <c r="N88" t="s">
        <v>117</v>
      </c>
      <c r="O88" t="s">
        <v>114</v>
      </c>
      <c r="P88" t="s">
        <v>115</v>
      </c>
      <c r="Q88" t="s">
        <v>116</v>
      </c>
      <c r="R88">
        <v>99999</v>
      </c>
      <c r="S88" t="s">
        <v>30</v>
      </c>
      <c r="U88" t="s">
        <v>38</v>
      </c>
      <c r="V88" t="s">
        <v>39</v>
      </c>
      <c r="W88" s="3">
        <v>3.5</v>
      </c>
      <c r="X88">
        <v>71</v>
      </c>
      <c r="Y88" s="4">
        <v>248.5</v>
      </c>
      <c r="Z88" s="3">
        <v>24.104500000000002</v>
      </c>
    </row>
    <row r="89" spans="1:26" hidden="1" x14ac:dyDescent="0.4">
      <c r="A89">
        <v>1097</v>
      </c>
      <c r="B89" s="2">
        <v>41740</v>
      </c>
      <c r="C89">
        <v>11</v>
      </c>
      <c r="D89" t="s">
        <v>113</v>
      </c>
      <c r="E89" t="s">
        <v>114</v>
      </c>
      <c r="F89" t="s">
        <v>115</v>
      </c>
      <c r="G89" t="s">
        <v>116</v>
      </c>
      <c r="H89">
        <v>99999</v>
      </c>
      <c r="I89" t="s">
        <v>30</v>
      </c>
      <c r="J89" t="s">
        <v>94</v>
      </c>
      <c r="K89" t="s">
        <v>95</v>
      </c>
      <c r="L89" s="2"/>
      <c r="M89" t="s">
        <v>62</v>
      </c>
      <c r="N89" t="s">
        <v>117</v>
      </c>
      <c r="O89" t="s">
        <v>114</v>
      </c>
      <c r="P89" t="s">
        <v>115</v>
      </c>
      <c r="Q89" t="s">
        <v>116</v>
      </c>
      <c r="R89">
        <v>99999</v>
      </c>
      <c r="S89" t="s">
        <v>30</v>
      </c>
      <c r="U89" t="s">
        <v>103</v>
      </c>
      <c r="V89" t="s">
        <v>37</v>
      </c>
      <c r="W89" s="3">
        <v>2.99</v>
      </c>
      <c r="X89">
        <v>88</v>
      </c>
      <c r="Y89" s="4">
        <v>263.12</v>
      </c>
      <c r="Z89" s="3">
        <v>26.04888</v>
      </c>
    </row>
    <row r="90" spans="1:26" hidden="1" x14ac:dyDescent="0.4">
      <c r="A90">
        <v>1098</v>
      </c>
      <c r="B90" s="2">
        <v>41730</v>
      </c>
      <c r="C90">
        <v>1</v>
      </c>
      <c r="D90" t="s">
        <v>118</v>
      </c>
      <c r="E90" t="s">
        <v>119</v>
      </c>
      <c r="F90" t="s">
        <v>120</v>
      </c>
      <c r="G90" t="s">
        <v>121</v>
      </c>
      <c r="H90">
        <v>99999</v>
      </c>
      <c r="I90" t="s">
        <v>30</v>
      </c>
      <c r="J90" t="s">
        <v>60</v>
      </c>
      <c r="K90" t="s">
        <v>61</v>
      </c>
      <c r="L90" s="2"/>
      <c r="N90" t="s">
        <v>122</v>
      </c>
      <c r="O90" t="s">
        <v>119</v>
      </c>
      <c r="P90" t="s">
        <v>120</v>
      </c>
      <c r="Q90" t="s">
        <v>121</v>
      </c>
      <c r="R90">
        <v>99999</v>
      </c>
      <c r="S90" t="s">
        <v>30</v>
      </c>
      <c r="U90" t="s">
        <v>54</v>
      </c>
      <c r="V90" t="s">
        <v>37</v>
      </c>
      <c r="W90" s="3">
        <v>18</v>
      </c>
      <c r="X90">
        <v>55</v>
      </c>
      <c r="Y90" s="4">
        <v>990</v>
      </c>
      <c r="Z90" s="3">
        <v>97.02</v>
      </c>
    </row>
    <row r="91" spans="1:26" x14ac:dyDescent="0.4">
      <c r="A91">
        <v>1099</v>
      </c>
      <c r="B91" s="2">
        <v>41788</v>
      </c>
      <c r="C91">
        <v>29</v>
      </c>
      <c r="D91" t="s">
        <v>66</v>
      </c>
      <c r="E91" t="s">
        <v>67</v>
      </c>
      <c r="F91" t="s">
        <v>68</v>
      </c>
      <c r="G91" t="s">
        <v>69</v>
      </c>
      <c r="H91">
        <v>99999</v>
      </c>
      <c r="I91" t="s">
        <v>30</v>
      </c>
      <c r="J91" t="s">
        <v>70</v>
      </c>
      <c r="K91" t="s">
        <v>32</v>
      </c>
      <c r="L91" s="2">
        <v>41790</v>
      </c>
      <c r="M91" t="s">
        <v>33</v>
      </c>
      <c r="N91" t="s">
        <v>71</v>
      </c>
      <c r="O91" t="s">
        <v>67</v>
      </c>
      <c r="P91" t="s">
        <v>68</v>
      </c>
      <c r="Q91" t="s">
        <v>69</v>
      </c>
      <c r="R91">
        <v>99999</v>
      </c>
      <c r="S91" t="s">
        <v>30</v>
      </c>
      <c r="T91" t="s">
        <v>35</v>
      </c>
      <c r="U91" t="s">
        <v>72</v>
      </c>
      <c r="V91" t="s">
        <v>73</v>
      </c>
      <c r="W91" s="3">
        <v>12.75</v>
      </c>
      <c r="X91">
        <v>14</v>
      </c>
      <c r="Y91" s="4">
        <v>178.5</v>
      </c>
      <c r="Z91" s="3">
        <v>16.9575</v>
      </c>
    </row>
    <row r="92" spans="1:26" x14ac:dyDescent="0.4">
      <c r="A92">
        <v>1100</v>
      </c>
      <c r="B92" s="2">
        <v>41762</v>
      </c>
      <c r="C92">
        <v>3</v>
      </c>
      <c r="D92" t="s">
        <v>74</v>
      </c>
      <c r="E92" t="s">
        <v>75</v>
      </c>
      <c r="F92" t="s">
        <v>76</v>
      </c>
      <c r="G92" t="s">
        <v>77</v>
      </c>
      <c r="H92">
        <v>99999</v>
      </c>
      <c r="I92" t="s">
        <v>30</v>
      </c>
      <c r="J92" t="s">
        <v>31</v>
      </c>
      <c r="K92" t="s">
        <v>32</v>
      </c>
      <c r="L92" s="2">
        <v>41764</v>
      </c>
      <c r="M92" t="s">
        <v>33</v>
      </c>
      <c r="N92" t="s">
        <v>78</v>
      </c>
      <c r="O92" t="s">
        <v>75</v>
      </c>
      <c r="P92" t="s">
        <v>76</v>
      </c>
      <c r="Q92" t="s">
        <v>77</v>
      </c>
      <c r="R92">
        <v>99999</v>
      </c>
      <c r="S92" t="s">
        <v>30</v>
      </c>
      <c r="T92" t="s">
        <v>79</v>
      </c>
      <c r="U92" t="s">
        <v>80</v>
      </c>
      <c r="V92" t="s">
        <v>81</v>
      </c>
      <c r="W92" s="3">
        <v>9.65</v>
      </c>
      <c r="X92">
        <v>43</v>
      </c>
      <c r="Y92" s="4">
        <v>414.95</v>
      </c>
      <c r="Z92" s="3">
        <v>42.324900000000007</v>
      </c>
    </row>
    <row r="93" spans="1:26" x14ac:dyDescent="0.4">
      <c r="A93">
        <v>1101</v>
      </c>
      <c r="B93" s="2">
        <v>41765</v>
      </c>
      <c r="C93">
        <v>6</v>
      </c>
      <c r="D93" t="s">
        <v>82</v>
      </c>
      <c r="E93" t="s">
        <v>83</v>
      </c>
      <c r="F93" t="s">
        <v>84</v>
      </c>
      <c r="G93" t="s">
        <v>85</v>
      </c>
      <c r="H93">
        <v>99999</v>
      </c>
      <c r="I93" t="s">
        <v>30</v>
      </c>
      <c r="J93" t="s">
        <v>86</v>
      </c>
      <c r="K93" t="s">
        <v>61</v>
      </c>
      <c r="L93">
        <v>41767</v>
      </c>
      <c r="M93" t="s">
        <v>33</v>
      </c>
      <c r="N93" t="s">
        <v>87</v>
      </c>
      <c r="O93" t="s">
        <v>83</v>
      </c>
      <c r="P93" t="s">
        <v>84</v>
      </c>
      <c r="Q93" t="s">
        <v>85</v>
      </c>
      <c r="R93">
        <v>99999</v>
      </c>
      <c r="S93" t="s">
        <v>30</v>
      </c>
      <c r="T93" t="s">
        <v>48</v>
      </c>
      <c r="U93" t="s">
        <v>88</v>
      </c>
      <c r="V93" t="s">
        <v>89</v>
      </c>
      <c r="W93" s="3">
        <v>40</v>
      </c>
      <c r="X93">
        <v>63</v>
      </c>
      <c r="Y93" s="4">
        <v>2520</v>
      </c>
      <c r="Z93" s="3">
        <v>254.52</v>
      </c>
    </row>
    <row r="94" spans="1:26" x14ac:dyDescent="0.4">
      <c r="A94">
        <v>1102</v>
      </c>
      <c r="B94" s="2">
        <v>41787</v>
      </c>
      <c r="C94">
        <v>28</v>
      </c>
      <c r="D94" t="s">
        <v>90</v>
      </c>
      <c r="E94" t="s">
        <v>91</v>
      </c>
      <c r="F94" t="s">
        <v>92</v>
      </c>
      <c r="G94" t="s">
        <v>93</v>
      </c>
      <c r="H94">
        <v>99999</v>
      </c>
      <c r="I94" t="s">
        <v>30</v>
      </c>
      <c r="J94" t="s">
        <v>94</v>
      </c>
      <c r="K94" t="s">
        <v>95</v>
      </c>
      <c r="L94" s="2">
        <v>41789</v>
      </c>
      <c r="M94" t="s">
        <v>62</v>
      </c>
      <c r="N94" t="s">
        <v>96</v>
      </c>
      <c r="O94" t="s">
        <v>91</v>
      </c>
      <c r="P94" t="s">
        <v>92</v>
      </c>
      <c r="Q94" t="s">
        <v>93</v>
      </c>
      <c r="R94">
        <v>99999</v>
      </c>
      <c r="S94" t="s">
        <v>30</v>
      </c>
      <c r="T94" t="s">
        <v>35</v>
      </c>
      <c r="U94" t="s">
        <v>55</v>
      </c>
      <c r="V94" t="s">
        <v>37</v>
      </c>
      <c r="W94" s="3">
        <v>46</v>
      </c>
      <c r="X94">
        <v>36</v>
      </c>
      <c r="Y94" s="4">
        <v>1656</v>
      </c>
      <c r="Z94" s="3">
        <v>165.60000000000002</v>
      </c>
    </row>
    <row r="95" spans="1:26" x14ac:dyDescent="0.4">
      <c r="A95">
        <v>1103</v>
      </c>
      <c r="B95" s="2">
        <v>41767</v>
      </c>
      <c r="C95">
        <v>8</v>
      </c>
      <c r="D95" t="s">
        <v>56</v>
      </c>
      <c r="E95" t="s">
        <v>57</v>
      </c>
      <c r="F95" t="s">
        <v>58</v>
      </c>
      <c r="G95" t="s">
        <v>59</v>
      </c>
      <c r="H95">
        <v>99999</v>
      </c>
      <c r="I95" t="s">
        <v>30</v>
      </c>
      <c r="J95" t="s">
        <v>60</v>
      </c>
      <c r="K95" t="s">
        <v>61</v>
      </c>
      <c r="L95" s="2">
        <v>41769</v>
      </c>
      <c r="M95" t="s">
        <v>62</v>
      </c>
      <c r="N95" t="s">
        <v>63</v>
      </c>
      <c r="O95" t="s">
        <v>57</v>
      </c>
      <c r="P95" t="s">
        <v>58</v>
      </c>
      <c r="Q95" t="s">
        <v>59</v>
      </c>
      <c r="R95">
        <v>99999</v>
      </c>
      <c r="S95" t="s">
        <v>30</v>
      </c>
      <c r="T95" t="s">
        <v>35</v>
      </c>
      <c r="U95" t="s">
        <v>72</v>
      </c>
      <c r="V95" t="s">
        <v>73</v>
      </c>
      <c r="W95" s="3">
        <v>12.75</v>
      </c>
      <c r="X95">
        <v>41</v>
      </c>
      <c r="Y95" s="4">
        <v>522.75</v>
      </c>
      <c r="Z95" s="3">
        <v>54.366000000000007</v>
      </c>
    </row>
    <row r="96" spans="1:26" x14ac:dyDescent="0.4">
      <c r="A96">
        <v>1104</v>
      </c>
      <c r="B96" s="2">
        <v>41769</v>
      </c>
      <c r="C96">
        <v>10</v>
      </c>
      <c r="D96" t="s">
        <v>97</v>
      </c>
      <c r="E96" t="s">
        <v>98</v>
      </c>
      <c r="F96" t="s">
        <v>99</v>
      </c>
      <c r="G96" t="s">
        <v>100</v>
      </c>
      <c r="H96">
        <v>99999</v>
      </c>
      <c r="I96" t="s">
        <v>30</v>
      </c>
      <c r="J96" t="s">
        <v>101</v>
      </c>
      <c r="K96" t="s">
        <v>45</v>
      </c>
      <c r="L96" s="2">
        <v>41771</v>
      </c>
      <c r="M96" t="s">
        <v>33</v>
      </c>
      <c r="N96" t="s">
        <v>102</v>
      </c>
      <c r="O96" t="s">
        <v>98</v>
      </c>
      <c r="P96" t="s">
        <v>99</v>
      </c>
      <c r="Q96" t="s">
        <v>100</v>
      </c>
      <c r="R96">
        <v>99999</v>
      </c>
      <c r="S96" t="s">
        <v>30</v>
      </c>
      <c r="T96" t="s">
        <v>48</v>
      </c>
      <c r="U96" t="s">
        <v>103</v>
      </c>
      <c r="V96" t="s">
        <v>37</v>
      </c>
      <c r="W96" s="3">
        <v>2.99</v>
      </c>
      <c r="X96">
        <v>35</v>
      </c>
      <c r="Y96" s="4">
        <v>104.65</v>
      </c>
      <c r="Z96" s="3">
        <v>10.255700000000001</v>
      </c>
    </row>
    <row r="97" spans="1:26" hidden="1" x14ac:dyDescent="0.4">
      <c r="A97">
        <v>1105</v>
      </c>
      <c r="B97" s="2">
        <v>41766</v>
      </c>
      <c r="C97">
        <v>7</v>
      </c>
      <c r="D97" t="s">
        <v>104</v>
      </c>
      <c r="E97" t="s">
        <v>105</v>
      </c>
      <c r="F97" t="s">
        <v>106</v>
      </c>
      <c r="G97" t="s">
        <v>107</v>
      </c>
      <c r="H97">
        <v>99999</v>
      </c>
      <c r="I97" t="s">
        <v>30</v>
      </c>
      <c r="J97" t="s">
        <v>60</v>
      </c>
      <c r="K97" t="s">
        <v>61</v>
      </c>
      <c r="N97" t="s">
        <v>108</v>
      </c>
      <c r="O97" t="s">
        <v>105</v>
      </c>
      <c r="P97" t="s">
        <v>106</v>
      </c>
      <c r="Q97" t="s">
        <v>107</v>
      </c>
      <c r="R97">
        <v>99999</v>
      </c>
      <c r="S97" t="s">
        <v>30</v>
      </c>
      <c r="U97" t="s">
        <v>55</v>
      </c>
      <c r="V97" t="s">
        <v>37</v>
      </c>
      <c r="W97" s="3">
        <v>46</v>
      </c>
      <c r="X97">
        <v>31</v>
      </c>
      <c r="Y97" s="4">
        <v>1426</v>
      </c>
      <c r="Z97" s="3">
        <v>136.89599999999999</v>
      </c>
    </row>
    <row r="98" spans="1:26" hidden="1" x14ac:dyDescent="0.4">
      <c r="A98">
        <v>1106</v>
      </c>
      <c r="B98" s="2">
        <v>41769</v>
      </c>
      <c r="C98">
        <v>10</v>
      </c>
      <c r="D98" t="s">
        <v>97</v>
      </c>
      <c r="E98" t="s">
        <v>98</v>
      </c>
      <c r="F98" t="s">
        <v>99</v>
      </c>
      <c r="G98" t="s">
        <v>100</v>
      </c>
      <c r="H98">
        <v>99999</v>
      </c>
      <c r="I98" t="s">
        <v>30</v>
      </c>
      <c r="J98" t="s">
        <v>101</v>
      </c>
      <c r="K98" t="s">
        <v>45</v>
      </c>
      <c r="L98">
        <v>41771</v>
      </c>
      <c r="M98" t="s">
        <v>46</v>
      </c>
      <c r="N98" t="s">
        <v>102</v>
      </c>
      <c r="O98" t="s">
        <v>98</v>
      </c>
      <c r="P98" t="s">
        <v>99</v>
      </c>
      <c r="Q98" t="s">
        <v>100</v>
      </c>
      <c r="R98">
        <v>99999</v>
      </c>
      <c r="S98" t="s">
        <v>30</v>
      </c>
      <c r="U98" t="s">
        <v>109</v>
      </c>
      <c r="V98" t="s">
        <v>110</v>
      </c>
      <c r="W98" s="3">
        <v>25</v>
      </c>
      <c r="X98">
        <v>52</v>
      </c>
      <c r="Y98" s="4">
        <v>1300</v>
      </c>
      <c r="Z98" s="3">
        <v>123.5</v>
      </c>
    </row>
    <row r="99" spans="1:26" hidden="1" x14ac:dyDescent="0.4">
      <c r="A99">
        <v>1107</v>
      </c>
      <c r="B99" s="2">
        <v>41769</v>
      </c>
      <c r="C99">
        <v>10</v>
      </c>
      <c r="D99" t="s">
        <v>97</v>
      </c>
      <c r="E99" t="s">
        <v>98</v>
      </c>
      <c r="F99" t="s">
        <v>99</v>
      </c>
      <c r="G99" t="s">
        <v>100</v>
      </c>
      <c r="H99">
        <v>99999</v>
      </c>
      <c r="I99" t="s">
        <v>30</v>
      </c>
      <c r="J99" t="s">
        <v>101</v>
      </c>
      <c r="K99" t="s">
        <v>45</v>
      </c>
      <c r="L99">
        <v>41771</v>
      </c>
      <c r="M99" t="s">
        <v>46</v>
      </c>
      <c r="N99" t="s">
        <v>102</v>
      </c>
      <c r="O99" t="s">
        <v>98</v>
      </c>
      <c r="P99" t="s">
        <v>99</v>
      </c>
      <c r="Q99" t="s">
        <v>100</v>
      </c>
      <c r="R99">
        <v>99999</v>
      </c>
      <c r="S99" t="s">
        <v>30</v>
      </c>
      <c r="U99" t="s">
        <v>111</v>
      </c>
      <c r="V99" t="s">
        <v>112</v>
      </c>
      <c r="W99" s="3">
        <v>22</v>
      </c>
      <c r="X99">
        <v>30</v>
      </c>
      <c r="Y99" s="4">
        <v>660</v>
      </c>
      <c r="Z99" s="3">
        <v>67.320000000000007</v>
      </c>
    </row>
    <row r="100" spans="1:26" hidden="1" x14ac:dyDescent="0.4">
      <c r="A100">
        <v>1108</v>
      </c>
      <c r="B100" s="2">
        <v>41769</v>
      </c>
      <c r="C100">
        <v>10</v>
      </c>
      <c r="D100" t="s">
        <v>97</v>
      </c>
      <c r="E100" t="s">
        <v>98</v>
      </c>
      <c r="F100" t="s">
        <v>99</v>
      </c>
      <c r="G100" t="s">
        <v>100</v>
      </c>
      <c r="H100">
        <v>99999</v>
      </c>
      <c r="I100" t="s">
        <v>30</v>
      </c>
      <c r="J100" t="s">
        <v>101</v>
      </c>
      <c r="K100" t="s">
        <v>45</v>
      </c>
      <c r="L100" s="2">
        <v>41771</v>
      </c>
      <c r="M100" t="s">
        <v>46</v>
      </c>
      <c r="N100" t="s">
        <v>102</v>
      </c>
      <c r="O100" t="s">
        <v>98</v>
      </c>
      <c r="P100" t="s">
        <v>99</v>
      </c>
      <c r="Q100" t="s">
        <v>100</v>
      </c>
      <c r="R100">
        <v>99999</v>
      </c>
      <c r="S100" t="s">
        <v>30</v>
      </c>
      <c r="U100" t="s">
        <v>64</v>
      </c>
      <c r="V100" t="s">
        <v>65</v>
      </c>
      <c r="W100" s="3">
        <v>9.1999999999999993</v>
      </c>
      <c r="X100">
        <v>41</v>
      </c>
      <c r="Y100" s="4">
        <v>377.2</v>
      </c>
      <c r="Z100" s="3">
        <v>38.474400000000003</v>
      </c>
    </row>
    <row r="101" spans="1:26" hidden="1" x14ac:dyDescent="0.4">
      <c r="A101">
        <v>1109</v>
      </c>
      <c r="B101" s="2">
        <v>41770</v>
      </c>
      <c r="C101">
        <v>11</v>
      </c>
      <c r="D101" t="s">
        <v>113</v>
      </c>
      <c r="E101" t="s">
        <v>114</v>
      </c>
      <c r="F101" t="s">
        <v>115</v>
      </c>
      <c r="G101" t="s">
        <v>116</v>
      </c>
      <c r="H101">
        <v>99999</v>
      </c>
      <c r="I101" t="s">
        <v>30</v>
      </c>
      <c r="J101" t="s">
        <v>94</v>
      </c>
      <c r="K101" t="s">
        <v>95</v>
      </c>
      <c r="L101" s="2"/>
      <c r="M101" t="s">
        <v>62</v>
      </c>
      <c r="N101" t="s">
        <v>117</v>
      </c>
      <c r="O101" t="s">
        <v>114</v>
      </c>
      <c r="P101" t="s">
        <v>115</v>
      </c>
      <c r="Q101" t="s">
        <v>116</v>
      </c>
      <c r="R101">
        <v>99999</v>
      </c>
      <c r="S101" t="s">
        <v>30</v>
      </c>
      <c r="U101" t="s">
        <v>38</v>
      </c>
      <c r="V101" t="s">
        <v>39</v>
      </c>
      <c r="W101" s="3">
        <v>3.5</v>
      </c>
      <c r="X101">
        <v>44</v>
      </c>
      <c r="Y101" s="4">
        <v>154</v>
      </c>
      <c r="Z101" s="3">
        <v>15.246</v>
      </c>
    </row>
    <row r="102" spans="1:26" hidden="1" x14ac:dyDescent="0.4">
      <c r="A102">
        <v>1110</v>
      </c>
      <c r="B102" s="2">
        <v>41770</v>
      </c>
      <c r="C102">
        <v>11</v>
      </c>
      <c r="D102" t="s">
        <v>113</v>
      </c>
      <c r="E102" t="s">
        <v>114</v>
      </c>
      <c r="F102" t="s">
        <v>115</v>
      </c>
      <c r="G102" t="s">
        <v>116</v>
      </c>
      <c r="H102">
        <v>99999</v>
      </c>
      <c r="I102" t="s">
        <v>30</v>
      </c>
      <c r="J102" t="s">
        <v>94</v>
      </c>
      <c r="K102" t="s">
        <v>95</v>
      </c>
      <c r="L102" s="2"/>
      <c r="M102" t="s">
        <v>62</v>
      </c>
      <c r="N102" t="s">
        <v>117</v>
      </c>
      <c r="O102" t="s">
        <v>114</v>
      </c>
      <c r="P102" t="s">
        <v>115</v>
      </c>
      <c r="Q102" t="s">
        <v>116</v>
      </c>
      <c r="R102">
        <v>99999</v>
      </c>
      <c r="S102" t="s">
        <v>30</v>
      </c>
      <c r="U102" t="s">
        <v>103</v>
      </c>
      <c r="V102" t="s">
        <v>37</v>
      </c>
      <c r="W102" s="3">
        <v>2.99</v>
      </c>
      <c r="X102">
        <v>77</v>
      </c>
      <c r="Y102" s="4">
        <v>230.23000000000002</v>
      </c>
      <c r="Z102" s="3">
        <v>23.023000000000003</v>
      </c>
    </row>
    <row r="103" spans="1:26" hidden="1" x14ac:dyDescent="0.4">
      <c r="A103">
        <v>1111</v>
      </c>
      <c r="B103" s="2">
        <v>41760</v>
      </c>
      <c r="C103">
        <v>1</v>
      </c>
      <c r="D103" t="s">
        <v>118</v>
      </c>
      <c r="E103" t="s">
        <v>119</v>
      </c>
      <c r="F103" t="s">
        <v>120</v>
      </c>
      <c r="G103" t="s">
        <v>121</v>
      </c>
      <c r="H103">
        <v>99999</v>
      </c>
      <c r="I103" t="s">
        <v>30</v>
      </c>
      <c r="J103" t="s">
        <v>60</v>
      </c>
      <c r="K103" t="s">
        <v>61</v>
      </c>
      <c r="L103" s="2"/>
      <c r="N103" t="s">
        <v>122</v>
      </c>
      <c r="O103" t="s">
        <v>119</v>
      </c>
      <c r="P103" t="s">
        <v>120</v>
      </c>
      <c r="Q103" t="s">
        <v>121</v>
      </c>
      <c r="R103">
        <v>99999</v>
      </c>
      <c r="S103" t="s">
        <v>30</v>
      </c>
      <c r="U103" t="s">
        <v>54</v>
      </c>
      <c r="V103" t="s">
        <v>37</v>
      </c>
      <c r="W103" s="3">
        <v>18</v>
      </c>
      <c r="X103">
        <v>29</v>
      </c>
      <c r="Y103" s="4">
        <v>522</v>
      </c>
      <c r="Z103" s="3">
        <v>52.722000000000001</v>
      </c>
    </row>
    <row r="104" spans="1:26" hidden="1" x14ac:dyDescent="0.4">
      <c r="A104">
        <v>1112</v>
      </c>
      <c r="B104" s="2">
        <v>41760</v>
      </c>
      <c r="C104">
        <v>1</v>
      </c>
      <c r="D104" t="s">
        <v>118</v>
      </c>
      <c r="E104" t="s">
        <v>119</v>
      </c>
      <c r="F104" t="s">
        <v>120</v>
      </c>
      <c r="G104" t="s">
        <v>121</v>
      </c>
      <c r="H104">
        <v>99999</v>
      </c>
      <c r="I104" t="s">
        <v>30</v>
      </c>
      <c r="J104" t="s">
        <v>60</v>
      </c>
      <c r="K104" t="s">
        <v>61</v>
      </c>
      <c r="L104" s="2"/>
      <c r="N104" t="s">
        <v>122</v>
      </c>
      <c r="O104" t="s">
        <v>119</v>
      </c>
      <c r="P104" t="s">
        <v>120</v>
      </c>
      <c r="Q104" t="s">
        <v>121</v>
      </c>
      <c r="R104">
        <v>99999</v>
      </c>
      <c r="S104" t="s">
        <v>30</v>
      </c>
      <c r="U104" t="s">
        <v>55</v>
      </c>
      <c r="V104" t="s">
        <v>37</v>
      </c>
      <c r="W104" s="3">
        <v>46</v>
      </c>
      <c r="X104">
        <v>77</v>
      </c>
      <c r="Y104" s="4">
        <v>3542</v>
      </c>
      <c r="Z104" s="3">
        <v>368.36800000000005</v>
      </c>
    </row>
    <row r="105" spans="1:26" hidden="1" x14ac:dyDescent="0.4">
      <c r="A105">
        <v>1113</v>
      </c>
      <c r="B105" s="2">
        <v>41760</v>
      </c>
      <c r="C105">
        <v>1</v>
      </c>
      <c r="D105" t="s">
        <v>118</v>
      </c>
      <c r="E105" t="s">
        <v>119</v>
      </c>
      <c r="F105" t="s">
        <v>120</v>
      </c>
      <c r="G105" t="s">
        <v>121</v>
      </c>
      <c r="H105">
        <v>99999</v>
      </c>
      <c r="I105" t="s">
        <v>30</v>
      </c>
      <c r="J105" t="s">
        <v>60</v>
      </c>
      <c r="K105" t="s">
        <v>61</v>
      </c>
      <c r="L105" s="2"/>
      <c r="N105" t="s">
        <v>122</v>
      </c>
      <c r="O105" t="s">
        <v>119</v>
      </c>
      <c r="P105" t="s">
        <v>120</v>
      </c>
      <c r="Q105" t="s">
        <v>121</v>
      </c>
      <c r="R105">
        <v>99999</v>
      </c>
      <c r="S105" t="s">
        <v>30</v>
      </c>
      <c r="U105" t="s">
        <v>103</v>
      </c>
      <c r="V105" t="s">
        <v>37</v>
      </c>
      <c r="W105" s="3">
        <v>2.99</v>
      </c>
      <c r="X105">
        <v>73</v>
      </c>
      <c r="Y105" s="4">
        <v>218.27</v>
      </c>
      <c r="Z105" s="3">
        <v>21.827000000000002</v>
      </c>
    </row>
    <row r="106" spans="1:26" x14ac:dyDescent="0.4">
      <c r="A106">
        <v>1114</v>
      </c>
      <c r="B106" s="2">
        <v>41787</v>
      </c>
      <c r="C106">
        <v>28</v>
      </c>
      <c r="D106" t="s">
        <v>90</v>
      </c>
      <c r="E106" t="s">
        <v>91</v>
      </c>
      <c r="F106" t="s">
        <v>92</v>
      </c>
      <c r="G106" t="s">
        <v>93</v>
      </c>
      <c r="H106">
        <v>99999</v>
      </c>
      <c r="I106" t="s">
        <v>30</v>
      </c>
      <c r="J106" t="s">
        <v>94</v>
      </c>
      <c r="K106" t="s">
        <v>95</v>
      </c>
      <c r="L106">
        <v>41789</v>
      </c>
      <c r="M106" t="s">
        <v>62</v>
      </c>
      <c r="N106" t="s">
        <v>96</v>
      </c>
      <c r="O106" t="s">
        <v>91</v>
      </c>
      <c r="P106" t="s">
        <v>92</v>
      </c>
      <c r="Q106" t="s">
        <v>93</v>
      </c>
      <c r="R106">
        <v>99999</v>
      </c>
      <c r="S106" t="s">
        <v>30</v>
      </c>
      <c r="T106" t="s">
        <v>48</v>
      </c>
      <c r="U106" t="s">
        <v>80</v>
      </c>
      <c r="V106" t="s">
        <v>81</v>
      </c>
      <c r="W106" s="3">
        <v>9.65</v>
      </c>
      <c r="X106">
        <v>74</v>
      </c>
      <c r="Y106" s="4">
        <v>714.1</v>
      </c>
      <c r="Z106" s="3">
        <v>67.839500000000001</v>
      </c>
    </row>
    <row r="107" spans="1:26" x14ac:dyDescent="0.4">
      <c r="A107">
        <v>1115</v>
      </c>
      <c r="B107" s="2">
        <v>41787</v>
      </c>
      <c r="C107">
        <v>28</v>
      </c>
      <c r="D107" t="s">
        <v>90</v>
      </c>
      <c r="E107" t="s">
        <v>91</v>
      </c>
      <c r="F107" t="s">
        <v>92</v>
      </c>
      <c r="G107" t="s">
        <v>93</v>
      </c>
      <c r="H107">
        <v>99999</v>
      </c>
      <c r="I107" t="s">
        <v>30</v>
      </c>
      <c r="J107" t="s">
        <v>94</v>
      </c>
      <c r="K107" t="s">
        <v>95</v>
      </c>
      <c r="L107" s="2">
        <v>41789</v>
      </c>
      <c r="M107" t="s">
        <v>62</v>
      </c>
      <c r="N107" t="s">
        <v>96</v>
      </c>
      <c r="O107" t="s">
        <v>91</v>
      </c>
      <c r="P107" t="s">
        <v>92</v>
      </c>
      <c r="Q107" t="s">
        <v>93</v>
      </c>
      <c r="R107">
        <v>99999</v>
      </c>
      <c r="S107" t="s">
        <v>30</v>
      </c>
      <c r="T107" t="s">
        <v>48</v>
      </c>
      <c r="U107" t="s">
        <v>123</v>
      </c>
      <c r="V107" t="s">
        <v>124</v>
      </c>
      <c r="W107" s="3">
        <v>18.399999999999999</v>
      </c>
      <c r="X107">
        <v>25</v>
      </c>
      <c r="Y107" s="4">
        <v>459.99999999999994</v>
      </c>
      <c r="Z107" s="3">
        <v>46.46</v>
      </c>
    </row>
    <row r="108" spans="1:26" x14ac:dyDescent="0.4">
      <c r="A108">
        <v>1116</v>
      </c>
      <c r="B108" s="2">
        <v>41768</v>
      </c>
      <c r="C108">
        <v>9</v>
      </c>
      <c r="D108" t="s">
        <v>125</v>
      </c>
      <c r="E108" t="s">
        <v>126</v>
      </c>
      <c r="F108" t="s">
        <v>127</v>
      </c>
      <c r="G108" t="s">
        <v>128</v>
      </c>
      <c r="H108">
        <v>99999</v>
      </c>
      <c r="I108" t="s">
        <v>30</v>
      </c>
      <c r="J108" t="s">
        <v>129</v>
      </c>
      <c r="K108" t="s">
        <v>32</v>
      </c>
      <c r="L108" s="2">
        <v>41770</v>
      </c>
      <c r="M108" t="s">
        <v>46</v>
      </c>
      <c r="N108" t="s">
        <v>130</v>
      </c>
      <c r="O108" t="s">
        <v>126</v>
      </c>
      <c r="P108" t="s">
        <v>127</v>
      </c>
      <c r="Q108" t="s">
        <v>128</v>
      </c>
      <c r="R108">
        <v>99999</v>
      </c>
      <c r="S108" t="s">
        <v>30</v>
      </c>
      <c r="T108" t="s">
        <v>35</v>
      </c>
      <c r="U108" t="s">
        <v>131</v>
      </c>
      <c r="V108" t="s">
        <v>132</v>
      </c>
      <c r="W108" s="3">
        <v>19.5</v>
      </c>
      <c r="X108">
        <v>82</v>
      </c>
      <c r="Y108" s="4">
        <v>1599</v>
      </c>
      <c r="Z108" s="3">
        <v>153.50399999999999</v>
      </c>
    </row>
    <row r="109" spans="1:26" x14ac:dyDescent="0.4">
      <c r="A109">
        <v>1117</v>
      </c>
      <c r="B109" s="2">
        <v>41768</v>
      </c>
      <c r="C109">
        <v>9</v>
      </c>
      <c r="D109" t="s">
        <v>125</v>
      </c>
      <c r="E109" t="s">
        <v>126</v>
      </c>
      <c r="F109" t="s">
        <v>127</v>
      </c>
      <c r="G109" t="s">
        <v>128</v>
      </c>
      <c r="H109">
        <v>99999</v>
      </c>
      <c r="I109" t="s">
        <v>30</v>
      </c>
      <c r="J109" t="s">
        <v>129</v>
      </c>
      <c r="K109" t="s">
        <v>32</v>
      </c>
      <c r="L109" s="2">
        <v>41770</v>
      </c>
      <c r="M109" t="s">
        <v>46</v>
      </c>
      <c r="N109" t="s">
        <v>130</v>
      </c>
      <c r="O109" t="s">
        <v>126</v>
      </c>
      <c r="P109" t="s">
        <v>127</v>
      </c>
      <c r="Q109" t="s">
        <v>128</v>
      </c>
      <c r="R109">
        <v>99999</v>
      </c>
      <c r="S109" t="s">
        <v>30</v>
      </c>
      <c r="T109" t="s">
        <v>35</v>
      </c>
      <c r="U109" t="s">
        <v>133</v>
      </c>
      <c r="V109" t="s">
        <v>134</v>
      </c>
      <c r="W109" s="3">
        <v>34.799999999999997</v>
      </c>
      <c r="X109">
        <v>37</v>
      </c>
      <c r="Y109" s="4">
        <v>1287.5999999999999</v>
      </c>
      <c r="Z109" s="3">
        <v>132.62279999999998</v>
      </c>
    </row>
    <row r="110" spans="1:26" x14ac:dyDescent="0.4">
      <c r="A110">
        <v>1118</v>
      </c>
      <c r="B110" s="2">
        <v>41765</v>
      </c>
      <c r="C110">
        <v>6</v>
      </c>
      <c r="D110" t="s">
        <v>82</v>
      </c>
      <c r="E110" t="s">
        <v>83</v>
      </c>
      <c r="F110" t="s">
        <v>84</v>
      </c>
      <c r="G110" t="s">
        <v>85</v>
      </c>
      <c r="H110">
        <v>99999</v>
      </c>
      <c r="I110" t="s">
        <v>30</v>
      </c>
      <c r="J110" t="s">
        <v>86</v>
      </c>
      <c r="K110" t="s">
        <v>61</v>
      </c>
      <c r="L110">
        <v>41767</v>
      </c>
      <c r="M110" t="s">
        <v>33</v>
      </c>
      <c r="N110" t="s">
        <v>87</v>
      </c>
      <c r="O110" t="s">
        <v>83</v>
      </c>
      <c r="P110" t="s">
        <v>84</v>
      </c>
      <c r="Q110" t="s">
        <v>85</v>
      </c>
      <c r="R110">
        <v>99999</v>
      </c>
      <c r="S110" t="s">
        <v>30</v>
      </c>
      <c r="T110" t="s">
        <v>48</v>
      </c>
      <c r="U110" t="s">
        <v>36</v>
      </c>
      <c r="V110" t="s">
        <v>37</v>
      </c>
      <c r="W110" s="3">
        <v>14</v>
      </c>
      <c r="X110">
        <v>84</v>
      </c>
      <c r="Y110" s="4">
        <v>1176</v>
      </c>
      <c r="Z110" s="3">
        <v>112.896</v>
      </c>
    </row>
    <row r="111" spans="1:26" x14ac:dyDescent="0.4">
      <c r="A111">
        <v>1119</v>
      </c>
      <c r="B111" s="2">
        <v>41767</v>
      </c>
      <c r="C111">
        <v>8</v>
      </c>
      <c r="D111" t="s">
        <v>56</v>
      </c>
      <c r="E111" t="s">
        <v>57</v>
      </c>
      <c r="F111" t="s">
        <v>58</v>
      </c>
      <c r="G111" t="s">
        <v>59</v>
      </c>
      <c r="H111">
        <v>99999</v>
      </c>
      <c r="I111" t="s">
        <v>30</v>
      </c>
      <c r="J111" t="s">
        <v>60</v>
      </c>
      <c r="K111" t="s">
        <v>61</v>
      </c>
      <c r="L111">
        <v>41769</v>
      </c>
      <c r="M111" t="s">
        <v>33</v>
      </c>
      <c r="N111" t="s">
        <v>63</v>
      </c>
      <c r="O111" t="s">
        <v>57</v>
      </c>
      <c r="P111" t="s">
        <v>58</v>
      </c>
      <c r="Q111" t="s">
        <v>59</v>
      </c>
      <c r="R111">
        <v>99999</v>
      </c>
      <c r="S111" t="s">
        <v>30</v>
      </c>
      <c r="T111" t="s">
        <v>35</v>
      </c>
      <c r="U111" t="s">
        <v>88</v>
      </c>
      <c r="V111" t="s">
        <v>89</v>
      </c>
      <c r="W111" s="3">
        <v>40</v>
      </c>
      <c r="X111">
        <v>73</v>
      </c>
      <c r="Y111" s="4">
        <v>2920</v>
      </c>
      <c r="Z111" s="3">
        <v>283.24</v>
      </c>
    </row>
    <row r="112" spans="1:26" x14ac:dyDescent="0.4">
      <c r="A112">
        <v>1120</v>
      </c>
      <c r="B112" s="2">
        <v>41767</v>
      </c>
      <c r="C112">
        <v>8</v>
      </c>
      <c r="D112" t="s">
        <v>56</v>
      </c>
      <c r="E112" t="s">
        <v>57</v>
      </c>
      <c r="F112" t="s">
        <v>58</v>
      </c>
      <c r="G112" t="s">
        <v>59</v>
      </c>
      <c r="H112">
        <v>99999</v>
      </c>
      <c r="I112" t="s">
        <v>30</v>
      </c>
      <c r="J112" t="s">
        <v>60</v>
      </c>
      <c r="K112" t="s">
        <v>61</v>
      </c>
      <c r="L112">
        <v>41769</v>
      </c>
      <c r="M112" t="s">
        <v>33</v>
      </c>
      <c r="N112" t="s">
        <v>63</v>
      </c>
      <c r="O112" t="s">
        <v>57</v>
      </c>
      <c r="P112" t="s">
        <v>58</v>
      </c>
      <c r="Q112" t="s">
        <v>59</v>
      </c>
      <c r="R112">
        <v>99999</v>
      </c>
      <c r="S112" t="s">
        <v>30</v>
      </c>
      <c r="T112" t="s">
        <v>35</v>
      </c>
      <c r="U112" t="s">
        <v>64</v>
      </c>
      <c r="V112" t="s">
        <v>65</v>
      </c>
      <c r="W112" s="3">
        <v>9.1999999999999993</v>
      </c>
      <c r="X112">
        <v>51</v>
      </c>
      <c r="Y112" s="4">
        <v>469.2</v>
      </c>
      <c r="Z112" s="3">
        <v>44.573999999999998</v>
      </c>
    </row>
    <row r="113" spans="1:26" x14ac:dyDescent="0.4">
      <c r="A113">
        <v>1121</v>
      </c>
      <c r="B113" s="2">
        <v>41784</v>
      </c>
      <c r="C113">
        <v>25</v>
      </c>
      <c r="D113" t="s">
        <v>137</v>
      </c>
      <c r="E113" t="s">
        <v>138</v>
      </c>
      <c r="F113" t="s">
        <v>99</v>
      </c>
      <c r="G113" t="s">
        <v>100</v>
      </c>
      <c r="H113">
        <v>99999</v>
      </c>
      <c r="I113" t="s">
        <v>30</v>
      </c>
      <c r="J113" t="s">
        <v>101</v>
      </c>
      <c r="K113" t="s">
        <v>45</v>
      </c>
      <c r="L113">
        <v>41786</v>
      </c>
      <c r="M113" t="s">
        <v>46</v>
      </c>
      <c r="N113" t="s">
        <v>139</v>
      </c>
      <c r="O113" t="s">
        <v>138</v>
      </c>
      <c r="P113" t="s">
        <v>99</v>
      </c>
      <c r="Q113" t="s">
        <v>100</v>
      </c>
      <c r="R113">
        <v>99999</v>
      </c>
      <c r="S113" t="s">
        <v>30</v>
      </c>
      <c r="T113" t="s">
        <v>79</v>
      </c>
      <c r="U113" t="s">
        <v>146</v>
      </c>
      <c r="V113" t="s">
        <v>65</v>
      </c>
      <c r="W113" s="3">
        <v>10</v>
      </c>
      <c r="X113">
        <v>66</v>
      </c>
      <c r="Y113" s="4">
        <v>660</v>
      </c>
      <c r="Z113" s="3">
        <v>68.64</v>
      </c>
    </row>
    <row r="114" spans="1:26" x14ac:dyDescent="0.4">
      <c r="A114">
        <v>1122</v>
      </c>
      <c r="B114" s="2">
        <v>41785</v>
      </c>
      <c r="C114">
        <v>26</v>
      </c>
      <c r="D114" t="s">
        <v>140</v>
      </c>
      <c r="E114" t="s">
        <v>141</v>
      </c>
      <c r="F114" t="s">
        <v>115</v>
      </c>
      <c r="G114" t="s">
        <v>116</v>
      </c>
      <c r="H114">
        <v>99999</v>
      </c>
      <c r="I114" t="s">
        <v>30</v>
      </c>
      <c r="J114" t="s">
        <v>94</v>
      </c>
      <c r="K114" t="s">
        <v>95</v>
      </c>
      <c r="L114">
        <v>41787</v>
      </c>
      <c r="M114" t="s">
        <v>62</v>
      </c>
      <c r="N114" t="s">
        <v>142</v>
      </c>
      <c r="O114" t="s">
        <v>141</v>
      </c>
      <c r="P114" t="s">
        <v>115</v>
      </c>
      <c r="Q114" t="s">
        <v>116</v>
      </c>
      <c r="R114">
        <v>99999</v>
      </c>
      <c r="S114" t="s">
        <v>30</v>
      </c>
      <c r="T114" t="s">
        <v>48</v>
      </c>
      <c r="U114" t="s">
        <v>147</v>
      </c>
      <c r="V114" t="s">
        <v>148</v>
      </c>
      <c r="W114" s="3">
        <v>21.35</v>
      </c>
      <c r="X114">
        <v>36</v>
      </c>
      <c r="Y114" s="4">
        <v>768.6</v>
      </c>
      <c r="Z114" s="3">
        <v>74.554200000000009</v>
      </c>
    </row>
    <row r="115" spans="1:26" x14ac:dyDescent="0.4">
      <c r="A115">
        <v>1123</v>
      </c>
      <c r="B115" s="2">
        <v>41785</v>
      </c>
      <c r="C115">
        <v>26</v>
      </c>
      <c r="D115" t="s">
        <v>140</v>
      </c>
      <c r="E115" t="s">
        <v>141</v>
      </c>
      <c r="F115" t="s">
        <v>115</v>
      </c>
      <c r="G115" t="s">
        <v>116</v>
      </c>
      <c r="H115">
        <v>99999</v>
      </c>
      <c r="I115" t="s">
        <v>30</v>
      </c>
      <c r="J115" t="s">
        <v>94</v>
      </c>
      <c r="K115" t="s">
        <v>95</v>
      </c>
      <c r="L115" s="2">
        <v>41787</v>
      </c>
      <c r="M115" t="s">
        <v>62</v>
      </c>
      <c r="N115" t="s">
        <v>142</v>
      </c>
      <c r="O115" t="s">
        <v>141</v>
      </c>
      <c r="P115" t="s">
        <v>115</v>
      </c>
      <c r="Q115" t="s">
        <v>116</v>
      </c>
      <c r="R115">
        <v>99999</v>
      </c>
      <c r="S115" t="s">
        <v>30</v>
      </c>
      <c r="T115" t="s">
        <v>48</v>
      </c>
      <c r="U115" t="s">
        <v>80</v>
      </c>
      <c r="V115" t="s">
        <v>81</v>
      </c>
      <c r="W115" s="3">
        <v>9.65</v>
      </c>
      <c r="X115">
        <v>87</v>
      </c>
      <c r="Y115" s="4">
        <v>839.55000000000007</v>
      </c>
      <c r="Z115" s="3">
        <v>87.313200000000009</v>
      </c>
    </row>
    <row r="116" spans="1:26" x14ac:dyDescent="0.4">
      <c r="A116">
        <v>1124</v>
      </c>
      <c r="B116" s="2">
        <v>41785</v>
      </c>
      <c r="C116">
        <v>26</v>
      </c>
      <c r="D116" t="s">
        <v>140</v>
      </c>
      <c r="E116" t="s">
        <v>141</v>
      </c>
      <c r="F116" t="s">
        <v>115</v>
      </c>
      <c r="G116" t="s">
        <v>116</v>
      </c>
      <c r="H116">
        <v>99999</v>
      </c>
      <c r="I116" t="s">
        <v>30</v>
      </c>
      <c r="J116" t="s">
        <v>94</v>
      </c>
      <c r="K116" t="s">
        <v>95</v>
      </c>
      <c r="L116" s="2">
        <v>41787</v>
      </c>
      <c r="M116" t="s">
        <v>62</v>
      </c>
      <c r="N116" t="s">
        <v>142</v>
      </c>
      <c r="O116" t="s">
        <v>141</v>
      </c>
      <c r="P116" t="s">
        <v>115</v>
      </c>
      <c r="Q116" t="s">
        <v>116</v>
      </c>
      <c r="R116">
        <v>99999</v>
      </c>
      <c r="S116" t="s">
        <v>30</v>
      </c>
      <c r="T116" t="s">
        <v>48</v>
      </c>
      <c r="U116" t="s">
        <v>123</v>
      </c>
      <c r="V116" t="s">
        <v>124</v>
      </c>
      <c r="W116" s="3">
        <v>18.399999999999999</v>
      </c>
      <c r="X116">
        <v>64</v>
      </c>
      <c r="Y116" s="4">
        <v>1177.5999999999999</v>
      </c>
      <c r="Z116" s="3">
        <v>115.40479999999999</v>
      </c>
    </row>
    <row r="117" spans="1:26" x14ac:dyDescent="0.4">
      <c r="A117">
        <v>1125</v>
      </c>
      <c r="B117" s="2">
        <v>41788</v>
      </c>
      <c r="C117">
        <v>29</v>
      </c>
      <c r="D117" t="s">
        <v>66</v>
      </c>
      <c r="E117" t="s">
        <v>67</v>
      </c>
      <c r="F117" t="s">
        <v>68</v>
      </c>
      <c r="G117" t="s">
        <v>69</v>
      </c>
      <c r="H117">
        <v>99999</v>
      </c>
      <c r="I117" t="s">
        <v>30</v>
      </c>
      <c r="J117" t="s">
        <v>70</v>
      </c>
      <c r="K117" t="s">
        <v>32</v>
      </c>
      <c r="L117" s="2">
        <v>41790</v>
      </c>
      <c r="M117" t="s">
        <v>33</v>
      </c>
      <c r="N117" t="s">
        <v>71</v>
      </c>
      <c r="O117" t="s">
        <v>67</v>
      </c>
      <c r="P117" t="s">
        <v>68</v>
      </c>
      <c r="Q117" t="s">
        <v>69</v>
      </c>
      <c r="R117">
        <v>99999</v>
      </c>
      <c r="S117" t="s">
        <v>30</v>
      </c>
      <c r="T117" t="s">
        <v>35</v>
      </c>
      <c r="U117" t="s">
        <v>36</v>
      </c>
      <c r="V117" t="s">
        <v>37</v>
      </c>
      <c r="W117" s="3">
        <v>14</v>
      </c>
      <c r="X117">
        <v>21</v>
      </c>
      <c r="Y117" s="4">
        <v>294</v>
      </c>
      <c r="Z117" s="3">
        <v>30.870000000000005</v>
      </c>
    </row>
    <row r="118" spans="1:26" x14ac:dyDescent="0.4">
      <c r="A118">
        <v>1126</v>
      </c>
      <c r="B118" s="2">
        <v>41765</v>
      </c>
      <c r="C118">
        <v>6</v>
      </c>
      <c r="D118" t="s">
        <v>82</v>
      </c>
      <c r="E118" t="s">
        <v>83</v>
      </c>
      <c r="F118" t="s">
        <v>84</v>
      </c>
      <c r="G118" t="s">
        <v>85</v>
      </c>
      <c r="H118">
        <v>99999</v>
      </c>
      <c r="I118" t="s">
        <v>30</v>
      </c>
      <c r="J118" t="s">
        <v>86</v>
      </c>
      <c r="K118" t="s">
        <v>61</v>
      </c>
      <c r="L118" s="2">
        <v>41767</v>
      </c>
      <c r="M118" t="s">
        <v>62</v>
      </c>
      <c r="N118" t="s">
        <v>87</v>
      </c>
      <c r="O118" t="s">
        <v>83</v>
      </c>
      <c r="P118" t="s">
        <v>84</v>
      </c>
      <c r="Q118" t="s">
        <v>85</v>
      </c>
      <c r="R118">
        <v>99999</v>
      </c>
      <c r="S118" t="s">
        <v>30</v>
      </c>
      <c r="T118" t="s">
        <v>35</v>
      </c>
      <c r="U118" t="s">
        <v>72</v>
      </c>
      <c r="V118" t="s">
        <v>73</v>
      </c>
      <c r="W118" s="3">
        <v>12.75</v>
      </c>
      <c r="X118">
        <v>19</v>
      </c>
      <c r="Y118" s="4">
        <v>242.25</v>
      </c>
      <c r="Z118" s="3">
        <v>24.46725</v>
      </c>
    </row>
    <row r="119" spans="1:26" x14ac:dyDescent="0.4">
      <c r="A119">
        <v>1128</v>
      </c>
      <c r="B119" s="2">
        <v>41763</v>
      </c>
      <c r="C119">
        <v>4</v>
      </c>
      <c r="D119" t="s">
        <v>40</v>
      </c>
      <c r="E119" t="s">
        <v>41</v>
      </c>
      <c r="F119" t="s">
        <v>42</v>
      </c>
      <c r="G119" t="s">
        <v>43</v>
      </c>
      <c r="H119">
        <v>99999</v>
      </c>
      <c r="I119" t="s">
        <v>30</v>
      </c>
      <c r="J119" t="s">
        <v>44</v>
      </c>
      <c r="K119" t="s">
        <v>45</v>
      </c>
      <c r="L119" s="2">
        <v>41765</v>
      </c>
      <c r="M119" t="s">
        <v>46</v>
      </c>
      <c r="N119" t="s">
        <v>47</v>
      </c>
      <c r="O119" t="s">
        <v>41</v>
      </c>
      <c r="P119" t="s">
        <v>42</v>
      </c>
      <c r="Q119" t="s">
        <v>43</v>
      </c>
      <c r="R119">
        <v>99999</v>
      </c>
      <c r="S119" t="s">
        <v>30</v>
      </c>
      <c r="T119" t="s">
        <v>48</v>
      </c>
      <c r="U119" t="s">
        <v>149</v>
      </c>
      <c r="V119" t="s">
        <v>110</v>
      </c>
      <c r="W119" s="3">
        <v>81</v>
      </c>
      <c r="X119">
        <v>23</v>
      </c>
      <c r="Y119" s="4">
        <v>1863</v>
      </c>
      <c r="Z119" s="3">
        <v>195.61500000000001</v>
      </c>
    </row>
    <row r="120" spans="1:26" x14ac:dyDescent="0.4">
      <c r="A120">
        <v>1129</v>
      </c>
      <c r="B120" s="2">
        <v>41763</v>
      </c>
      <c r="C120">
        <v>4</v>
      </c>
      <c r="D120" t="s">
        <v>40</v>
      </c>
      <c r="E120" t="s">
        <v>41</v>
      </c>
      <c r="F120" t="s">
        <v>42</v>
      </c>
      <c r="G120" t="s">
        <v>43</v>
      </c>
      <c r="H120">
        <v>99999</v>
      </c>
      <c r="I120" t="s">
        <v>30</v>
      </c>
      <c r="J120" t="s">
        <v>44</v>
      </c>
      <c r="K120" t="s">
        <v>45</v>
      </c>
      <c r="L120" s="2">
        <v>41765</v>
      </c>
      <c r="M120" t="s">
        <v>46</v>
      </c>
      <c r="N120" t="s">
        <v>47</v>
      </c>
      <c r="O120" t="s">
        <v>41</v>
      </c>
      <c r="P120" t="s">
        <v>42</v>
      </c>
      <c r="Q120" t="s">
        <v>43</v>
      </c>
      <c r="R120">
        <v>99999</v>
      </c>
      <c r="S120" t="s">
        <v>30</v>
      </c>
      <c r="T120" t="s">
        <v>48</v>
      </c>
      <c r="U120" t="s">
        <v>150</v>
      </c>
      <c r="V120" t="s">
        <v>151</v>
      </c>
      <c r="W120" s="3">
        <v>7</v>
      </c>
      <c r="X120">
        <v>72</v>
      </c>
      <c r="Y120" s="4">
        <v>504</v>
      </c>
      <c r="Z120" s="3">
        <v>51.912000000000006</v>
      </c>
    </row>
    <row r="121" spans="1:26" x14ac:dyDescent="0.4">
      <c r="A121">
        <v>1131</v>
      </c>
      <c r="B121" s="2">
        <v>41767</v>
      </c>
      <c r="C121">
        <v>8</v>
      </c>
      <c r="D121" t="s">
        <v>56</v>
      </c>
      <c r="E121" t="s">
        <v>57</v>
      </c>
      <c r="F121" t="s">
        <v>58</v>
      </c>
      <c r="G121" t="s">
        <v>59</v>
      </c>
      <c r="H121">
        <v>99999</v>
      </c>
      <c r="I121" t="s">
        <v>30</v>
      </c>
      <c r="J121" t="s">
        <v>60</v>
      </c>
      <c r="K121" t="s">
        <v>61</v>
      </c>
      <c r="L121" s="2">
        <v>41769</v>
      </c>
      <c r="M121" t="s">
        <v>62</v>
      </c>
      <c r="N121" t="s">
        <v>63</v>
      </c>
      <c r="O121" t="s">
        <v>57</v>
      </c>
      <c r="P121" t="s">
        <v>58</v>
      </c>
      <c r="Q121" t="s">
        <v>59</v>
      </c>
      <c r="R121">
        <v>99999</v>
      </c>
      <c r="S121" t="s">
        <v>30</v>
      </c>
      <c r="T121" t="s">
        <v>48</v>
      </c>
      <c r="U121" t="s">
        <v>133</v>
      </c>
      <c r="V121" t="s">
        <v>134</v>
      </c>
      <c r="W121" s="3">
        <v>34.799999999999997</v>
      </c>
      <c r="X121">
        <v>22</v>
      </c>
      <c r="Y121" s="4">
        <v>765.59999999999991</v>
      </c>
      <c r="Z121" s="3">
        <v>75.02879999999999</v>
      </c>
    </row>
    <row r="122" spans="1:26" x14ac:dyDescent="0.4">
      <c r="A122">
        <v>1134</v>
      </c>
      <c r="B122" s="2">
        <v>41762</v>
      </c>
      <c r="C122">
        <v>3</v>
      </c>
      <c r="D122" t="s">
        <v>74</v>
      </c>
      <c r="E122" t="s">
        <v>75</v>
      </c>
      <c r="F122" t="s">
        <v>76</v>
      </c>
      <c r="G122" t="s">
        <v>77</v>
      </c>
      <c r="H122">
        <v>99999</v>
      </c>
      <c r="I122" t="s">
        <v>30</v>
      </c>
      <c r="J122" t="s">
        <v>31</v>
      </c>
      <c r="K122" t="s">
        <v>32</v>
      </c>
      <c r="L122" s="2">
        <v>41764</v>
      </c>
      <c r="M122" t="s">
        <v>33</v>
      </c>
      <c r="N122" t="s">
        <v>78</v>
      </c>
      <c r="O122" t="s">
        <v>75</v>
      </c>
      <c r="P122" t="s">
        <v>76</v>
      </c>
      <c r="Q122" t="s">
        <v>77</v>
      </c>
      <c r="R122">
        <v>99999</v>
      </c>
      <c r="S122" t="s">
        <v>30</v>
      </c>
      <c r="T122" t="s">
        <v>79</v>
      </c>
      <c r="U122" t="s">
        <v>135</v>
      </c>
      <c r="V122" t="s">
        <v>112</v>
      </c>
      <c r="W122" s="3">
        <v>10</v>
      </c>
      <c r="X122">
        <v>82</v>
      </c>
      <c r="Y122" s="4">
        <v>820</v>
      </c>
      <c r="Z122" s="3">
        <v>85.28</v>
      </c>
    </row>
    <row r="123" spans="1:26" x14ac:dyDescent="0.4">
      <c r="A123">
        <v>1135</v>
      </c>
      <c r="B123" s="2">
        <v>41762</v>
      </c>
      <c r="C123">
        <v>3</v>
      </c>
      <c r="D123" t="s">
        <v>74</v>
      </c>
      <c r="E123" t="s">
        <v>75</v>
      </c>
      <c r="F123" t="s">
        <v>76</v>
      </c>
      <c r="G123" t="s">
        <v>77</v>
      </c>
      <c r="H123">
        <v>99999</v>
      </c>
      <c r="I123" t="s">
        <v>30</v>
      </c>
      <c r="J123" t="s">
        <v>31</v>
      </c>
      <c r="K123" t="s">
        <v>32</v>
      </c>
      <c r="L123" s="2">
        <v>41764</v>
      </c>
      <c r="M123" t="s">
        <v>33</v>
      </c>
      <c r="N123" t="s">
        <v>78</v>
      </c>
      <c r="O123" t="s">
        <v>75</v>
      </c>
      <c r="P123" t="s">
        <v>76</v>
      </c>
      <c r="Q123" t="s">
        <v>77</v>
      </c>
      <c r="R123">
        <v>99999</v>
      </c>
      <c r="S123" t="s">
        <v>30</v>
      </c>
      <c r="T123" t="s">
        <v>79</v>
      </c>
      <c r="U123" t="s">
        <v>88</v>
      </c>
      <c r="V123" t="s">
        <v>89</v>
      </c>
      <c r="W123" s="3">
        <v>40</v>
      </c>
      <c r="X123">
        <v>98</v>
      </c>
      <c r="Y123" s="4">
        <v>3920</v>
      </c>
      <c r="Z123" s="3">
        <v>411.6</v>
      </c>
    </row>
    <row r="124" spans="1:26" hidden="1" x14ac:dyDescent="0.4">
      <c r="A124">
        <v>1138</v>
      </c>
      <c r="B124" s="2">
        <v>41797</v>
      </c>
      <c r="C124">
        <v>7</v>
      </c>
      <c r="D124" t="s">
        <v>104</v>
      </c>
      <c r="E124" t="s">
        <v>105</v>
      </c>
      <c r="F124" t="s">
        <v>106</v>
      </c>
      <c r="G124" t="s">
        <v>107</v>
      </c>
      <c r="H124">
        <v>99999</v>
      </c>
      <c r="I124" t="s">
        <v>30</v>
      </c>
      <c r="J124" t="s">
        <v>60</v>
      </c>
      <c r="K124" t="s">
        <v>61</v>
      </c>
      <c r="L124" s="2"/>
      <c r="N124" t="s">
        <v>108</v>
      </c>
      <c r="O124" t="s">
        <v>105</v>
      </c>
      <c r="P124" t="s">
        <v>106</v>
      </c>
      <c r="Q124" t="s">
        <v>107</v>
      </c>
      <c r="R124">
        <v>99999</v>
      </c>
      <c r="S124" t="s">
        <v>30</v>
      </c>
      <c r="U124" t="s">
        <v>55</v>
      </c>
      <c r="V124" t="s">
        <v>37</v>
      </c>
      <c r="W124" s="3">
        <v>46</v>
      </c>
      <c r="X124">
        <v>71</v>
      </c>
      <c r="Y124" s="4">
        <v>3266</v>
      </c>
      <c r="Z124" s="3">
        <v>310.27</v>
      </c>
    </row>
    <row r="125" spans="1:26" hidden="1" x14ac:dyDescent="0.4">
      <c r="A125">
        <v>1139</v>
      </c>
      <c r="B125" s="2">
        <v>41800</v>
      </c>
      <c r="C125">
        <v>10</v>
      </c>
      <c r="D125" t="s">
        <v>97</v>
      </c>
      <c r="E125" t="s">
        <v>98</v>
      </c>
      <c r="F125" t="s">
        <v>99</v>
      </c>
      <c r="G125" t="s">
        <v>100</v>
      </c>
      <c r="H125">
        <v>99999</v>
      </c>
      <c r="I125" t="s">
        <v>30</v>
      </c>
      <c r="J125" t="s">
        <v>101</v>
      </c>
      <c r="K125" t="s">
        <v>45</v>
      </c>
      <c r="L125" s="2">
        <v>41802</v>
      </c>
      <c r="M125" t="s">
        <v>46</v>
      </c>
      <c r="N125" t="s">
        <v>102</v>
      </c>
      <c r="O125" t="s">
        <v>98</v>
      </c>
      <c r="P125" t="s">
        <v>99</v>
      </c>
      <c r="Q125" t="s">
        <v>100</v>
      </c>
      <c r="R125">
        <v>99999</v>
      </c>
      <c r="S125" t="s">
        <v>30</v>
      </c>
      <c r="U125" t="s">
        <v>109</v>
      </c>
      <c r="V125" t="s">
        <v>110</v>
      </c>
      <c r="W125" s="3">
        <v>25</v>
      </c>
      <c r="X125">
        <v>40</v>
      </c>
      <c r="Y125" s="4">
        <v>1000</v>
      </c>
      <c r="Z125" s="3">
        <v>105</v>
      </c>
    </row>
    <row r="126" spans="1:26" hidden="1" x14ac:dyDescent="0.4">
      <c r="A126">
        <v>1140</v>
      </c>
      <c r="B126" s="2">
        <v>41800</v>
      </c>
      <c r="C126">
        <v>10</v>
      </c>
      <c r="D126" t="s">
        <v>97</v>
      </c>
      <c r="E126" t="s">
        <v>98</v>
      </c>
      <c r="F126" t="s">
        <v>99</v>
      </c>
      <c r="G126" t="s">
        <v>100</v>
      </c>
      <c r="H126">
        <v>99999</v>
      </c>
      <c r="I126" t="s">
        <v>30</v>
      </c>
      <c r="J126" t="s">
        <v>101</v>
      </c>
      <c r="K126" t="s">
        <v>45</v>
      </c>
      <c r="L126" s="2">
        <v>41802</v>
      </c>
      <c r="M126" t="s">
        <v>46</v>
      </c>
      <c r="N126" t="s">
        <v>102</v>
      </c>
      <c r="O126" t="s">
        <v>98</v>
      </c>
      <c r="P126" t="s">
        <v>99</v>
      </c>
      <c r="Q126" t="s">
        <v>100</v>
      </c>
      <c r="R126">
        <v>99999</v>
      </c>
      <c r="S126" t="s">
        <v>30</v>
      </c>
      <c r="U126" t="s">
        <v>111</v>
      </c>
      <c r="V126" t="s">
        <v>112</v>
      </c>
      <c r="W126" s="3">
        <v>22</v>
      </c>
      <c r="X126">
        <v>80</v>
      </c>
      <c r="Y126" s="4">
        <v>1760</v>
      </c>
      <c r="Z126" s="3">
        <v>172.48</v>
      </c>
    </row>
    <row r="127" spans="1:26" hidden="1" x14ac:dyDescent="0.4">
      <c r="A127">
        <v>1141</v>
      </c>
      <c r="B127" s="2">
        <v>41800</v>
      </c>
      <c r="C127">
        <v>10</v>
      </c>
      <c r="D127" t="s">
        <v>97</v>
      </c>
      <c r="E127" t="s">
        <v>98</v>
      </c>
      <c r="F127" t="s">
        <v>99</v>
      </c>
      <c r="G127" t="s">
        <v>100</v>
      </c>
      <c r="H127">
        <v>99999</v>
      </c>
      <c r="I127" t="s">
        <v>30</v>
      </c>
      <c r="J127" t="s">
        <v>101</v>
      </c>
      <c r="K127" t="s">
        <v>45</v>
      </c>
      <c r="L127" s="2">
        <v>41802</v>
      </c>
      <c r="M127" t="s">
        <v>46</v>
      </c>
      <c r="N127" t="s">
        <v>102</v>
      </c>
      <c r="O127" t="s">
        <v>98</v>
      </c>
      <c r="P127" t="s">
        <v>99</v>
      </c>
      <c r="Q127" t="s">
        <v>100</v>
      </c>
      <c r="R127">
        <v>99999</v>
      </c>
      <c r="S127" t="s">
        <v>30</v>
      </c>
      <c r="U127" t="s">
        <v>64</v>
      </c>
      <c r="V127" t="s">
        <v>65</v>
      </c>
      <c r="W127" s="3">
        <v>9.1999999999999993</v>
      </c>
      <c r="X127">
        <v>38</v>
      </c>
      <c r="Y127" s="4">
        <v>349.59999999999997</v>
      </c>
      <c r="Z127" s="3">
        <v>33.211999999999996</v>
      </c>
    </row>
    <row r="128" spans="1:26" hidden="1" x14ac:dyDescent="0.4">
      <c r="A128">
        <v>1142</v>
      </c>
      <c r="B128" s="2">
        <v>41801</v>
      </c>
      <c r="C128">
        <v>11</v>
      </c>
      <c r="D128" t="s">
        <v>113</v>
      </c>
      <c r="E128" t="s">
        <v>114</v>
      </c>
      <c r="F128" t="s">
        <v>115</v>
      </c>
      <c r="G128" t="s">
        <v>116</v>
      </c>
      <c r="H128">
        <v>99999</v>
      </c>
      <c r="I128" t="s">
        <v>30</v>
      </c>
      <c r="J128" t="s">
        <v>94</v>
      </c>
      <c r="K128" t="s">
        <v>95</v>
      </c>
      <c r="L128" s="2"/>
      <c r="M128" t="s">
        <v>62</v>
      </c>
      <c r="N128" t="s">
        <v>117</v>
      </c>
      <c r="O128" t="s">
        <v>114</v>
      </c>
      <c r="P128" t="s">
        <v>115</v>
      </c>
      <c r="Q128" t="s">
        <v>116</v>
      </c>
      <c r="R128">
        <v>99999</v>
      </c>
      <c r="S128" t="s">
        <v>30</v>
      </c>
      <c r="U128" t="s">
        <v>38</v>
      </c>
      <c r="V128" t="s">
        <v>39</v>
      </c>
      <c r="W128">
        <v>3.5</v>
      </c>
      <c r="X128">
        <v>28</v>
      </c>
      <c r="Y128" s="4">
        <v>98</v>
      </c>
      <c r="Z128" s="3">
        <v>10.290000000000001</v>
      </c>
    </row>
    <row r="129" spans="1:26" hidden="1" x14ac:dyDescent="0.4">
      <c r="A129">
        <v>1143</v>
      </c>
      <c r="B129" s="2">
        <v>41801</v>
      </c>
      <c r="C129">
        <v>11</v>
      </c>
      <c r="D129" t="s">
        <v>113</v>
      </c>
      <c r="E129" t="s">
        <v>114</v>
      </c>
      <c r="F129" t="s">
        <v>115</v>
      </c>
      <c r="G129" t="s">
        <v>116</v>
      </c>
      <c r="H129">
        <v>99999</v>
      </c>
      <c r="I129" t="s">
        <v>30</v>
      </c>
      <c r="J129" t="s">
        <v>94</v>
      </c>
      <c r="K129" t="s">
        <v>95</v>
      </c>
      <c r="L129" s="2"/>
      <c r="M129" t="s">
        <v>62</v>
      </c>
      <c r="N129" t="s">
        <v>117</v>
      </c>
      <c r="O129" t="s">
        <v>114</v>
      </c>
      <c r="P129" t="s">
        <v>115</v>
      </c>
      <c r="Q129" t="s">
        <v>116</v>
      </c>
      <c r="R129">
        <v>99999</v>
      </c>
      <c r="S129" t="s">
        <v>30</v>
      </c>
      <c r="U129" t="s">
        <v>103</v>
      </c>
      <c r="V129" t="s">
        <v>37</v>
      </c>
      <c r="W129">
        <v>2.99</v>
      </c>
      <c r="X129">
        <v>60</v>
      </c>
      <c r="Y129" s="4">
        <v>179.4</v>
      </c>
      <c r="Z129" s="3">
        <v>17.581200000000003</v>
      </c>
    </row>
    <row r="130" spans="1:26" hidden="1" x14ac:dyDescent="0.4">
      <c r="A130">
        <v>1144</v>
      </c>
      <c r="B130" s="2">
        <v>41791</v>
      </c>
      <c r="C130">
        <v>1</v>
      </c>
      <c r="D130" t="s">
        <v>118</v>
      </c>
      <c r="E130" t="s">
        <v>119</v>
      </c>
      <c r="F130" t="s">
        <v>120</v>
      </c>
      <c r="G130" t="s">
        <v>121</v>
      </c>
      <c r="H130">
        <v>99999</v>
      </c>
      <c r="I130" t="s">
        <v>30</v>
      </c>
      <c r="J130" t="s">
        <v>60</v>
      </c>
      <c r="K130" t="s">
        <v>61</v>
      </c>
      <c r="L130" s="2"/>
      <c r="N130" t="s">
        <v>122</v>
      </c>
      <c r="O130" t="s">
        <v>119</v>
      </c>
      <c r="P130" t="s">
        <v>120</v>
      </c>
      <c r="Q130" t="s">
        <v>121</v>
      </c>
      <c r="R130">
        <v>99999</v>
      </c>
      <c r="S130" t="s">
        <v>30</v>
      </c>
      <c r="U130" t="s">
        <v>54</v>
      </c>
      <c r="V130" t="s">
        <v>37</v>
      </c>
      <c r="W130">
        <v>18</v>
      </c>
      <c r="X130">
        <v>33</v>
      </c>
      <c r="Y130" s="4">
        <v>594</v>
      </c>
      <c r="Z130" s="3">
        <v>58.212000000000003</v>
      </c>
    </row>
    <row r="131" spans="1:26" hidden="1" x14ac:dyDescent="0.4">
      <c r="A131">
        <v>1145</v>
      </c>
      <c r="B131" s="2">
        <v>41791</v>
      </c>
      <c r="C131">
        <v>1</v>
      </c>
      <c r="D131" t="s">
        <v>118</v>
      </c>
      <c r="E131" t="s">
        <v>119</v>
      </c>
      <c r="F131" t="s">
        <v>120</v>
      </c>
      <c r="G131" t="s">
        <v>121</v>
      </c>
      <c r="H131">
        <v>99999</v>
      </c>
      <c r="I131" t="s">
        <v>30</v>
      </c>
      <c r="J131" t="s">
        <v>60</v>
      </c>
      <c r="K131" t="s">
        <v>61</v>
      </c>
      <c r="L131" s="2"/>
      <c r="N131" t="s">
        <v>122</v>
      </c>
      <c r="O131" t="s">
        <v>119</v>
      </c>
      <c r="P131" t="s">
        <v>120</v>
      </c>
      <c r="Q131" t="s">
        <v>121</v>
      </c>
      <c r="R131">
        <v>99999</v>
      </c>
      <c r="S131" t="s">
        <v>30</v>
      </c>
      <c r="U131" t="s">
        <v>55</v>
      </c>
      <c r="V131" t="s">
        <v>37</v>
      </c>
      <c r="W131">
        <v>46</v>
      </c>
      <c r="X131">
        <v>22</v>
      </c>
      <c r="Y131" s="4">
        <v>1012</v>
      </c>
      <c r="Z131" s="3">
        <v>101.2</v>
      </c>
    </row>
    <row r="132" spans="1:26" hidden="1" x14ac:dyDescent="0.4">
      <c r="A132">
        <v>1146</v>
      </c>
      <c r="B132" s="2">
        <v>41791</v>
      </c>
      <c r="C132">
        <v>1</v>
      </c>
      <c r="D132" t="s">
        <v>118</v>
      </c>
      <c r="E132" t="s">
        <v>119</v>
      </c>
      <c r="F132" t="s">
        <v>120</v>
      </c>
      <c r="G132" t="s">
        <v>121</v>
      </c>
      <c r="H132">
        <v>99999</v>
      </c>
      <c r="I132" t="s">
        <v>30</v>
      </c>
      <c r="J132" t="s">
        <v>60</v>
      </c>
      <c r="K132" t="s">
        <v>61</v>
      </c>
      <c r="L132" s="2"/>
      <c r="N132" t="s">
        <v>122</v>
      </c>
      <c r="O132" t="s">
        <v>119</v>
      </c>
      <c r="P132" t="s">
        <v>120</v>
      </c>
      <c r="Q132" t="s">
        <v>121</v>
      </c>
      <c r="R132">
        <v>99999</v>
      </c>
      <c r="S132" t="s">
        <v>30</v>
      </c>
      <c r="U132" t="s">
        <v>103</v>
      </c>
      <c r="V132" t="s">
        <v>37</v>
      </c>
      <c r="W132">
        <v>2.99</v>
      </c>
      <c r="X132">
        <v>51</v>
      </c>
      <c r="Y132" s="4">
        <v>152.49</v>
      </c>
      <c r="Z132" s="3">
        <v>14.944020000000002</v>
      </c>
    </row>
    <row r="133" spans="1:26" x14ac:dyDescent="0.4">
      <c r="A133">
        <v>1147</v>
      </c>
      <c r="B133" s="2">
        <v>41818</v>
      </c>
      <c r="C133">
        <v>28</v>
      </c>
      <c r="D133" t="s">
        <v>90</v>
      </c>
      <c r="E133" t="s">
        <v>91</v>
      </c>
      <c r="F133" t="s">
        <v>92</v>
      </c>
      <c r="G133" t="s">
        <v>93</v>
      </c>
      <c r="H133">
        <v>99999</v>
      </c>
      <c r="I133" t="s">
        <v>30</v>
      </c>
      <c r="J133" t="s">
        <v>94</v>
      </c>
      <c r="K133" t="s">
        <v>95</v>
      </c>
      <c r="L133" s="2">
        <v>41820</v>
      </c>
      <c r="M133" t="s">
        <v>62</v>
      </c>
      <c r="N133" t="s">
        <v>96</v>
      </c>
      <c r="O133" t="s">
        <v>91</v>
      </c>
      <c r="P133" t="s">
        <v>92</v>
      </c>
      <c r="Q133" t="s">
        <v>93</v>
      </c>
      <c r="R133">
        <v>99999</v>
      </c>
      <c r="S133" t="s">
        <v>30</v>
      </c>
      <c r="T133" t="s">
        <v>48</v>
      </c>
      <c r="U133" t="s">
        <v>80</v>
      </c>
      <c r="V133" t="s">
        <v>81</v>
      </c>
      <c r="W133">
        <v>9.65</v>
      </c>
      <c r="X133">
        <v>60</v>
      </c>
      <c r="Y133" s="4">
        <v>579</v>
      </c>
      <c r="Z133" s="3">
        <v>57.321000000000005</v>
      </c>
    </row>
    <row r="134" spans="1:26" x14ac:dyDescent="0.4">
      <c r="A134">
        <v>1148</v>
      </c>
      <c r="B134" s="2">
        <v>41818</v>
      </c>
      <c r="C134">
        <v>28</v>
      </c>
      <c r="D134" t="s">
        <v>90</v>
      </c>
      <c r="E134" t="s">
        <v>91</v>
      </c>
      <c r="F134" t="s">
        <v>92</v>
      </c>
      <c r="G134" t="s">
        <v>93</v>
      </c>
      <c r="H134">
        <v>99999</v>
      </c>
      <c r="I134" t="s">
        <v>30</v>
      </c>
      <c r="J134" t="s">
        <v>94</v>
      </c>
      <c r="K134" t="s">
        <v>95</v>
      </c>
      <c r="L134" s="2">
        <v>41820</v>
      </c>
      <c r="M134" t="s">
        <v>62</v>
      </c>
      <c r="N134" t="s">
        <v>96</v>
      </c>
      <c r="O134" t="s">
        <v>91</v>
      </c>
      <c r="P134" t="s">
        <v>92</v>
      </c>
      <c r="Q134" t="s">
        <v>93</v>
      </c>
      <c r="R134">
        <v>99999</v>
      </c>
      <c r="S134" t="s">
        <v>30</v>
      </c>
      <c r="T134" t="s">
        <v>48</v>
      </c>
      <c r="U134" t="s">
        <v>123</v>
      </c>
      <c r="V134" t="s">
        <v>124</v>
      </c>
      <c r="W134">
        <v>18.399999999999999</v>
      </c>
      <c r="X134">
        <v>98</v>
      </c>
      <c r="Y134" s="4">
        <v>1803.1999999999998</v>
      </c>
      <c r="Z134" s="3">
        <v>183.9264</v>
      </c>
    </row>
    <row r="135" spans="1:26" x14ac:dyDescent="0.4">
      <c r="A135">
        <v>1149</v>
      </c>
      <c r="B135" s="2">
        <v>41799</v>
      </c>
      <c r="C135">
        <v>9</v>
      </c>
      <c r="D135" t="s">
        <v>125</v>
      </c>
      <c r="E135" t="s">
        <v>126</v>
      </c>
      <c r="F135" t="s">
        <v>127</v>
      </c>
      <c r="G135" t="s">
        <v>128</v>
      </c>
      <c r="H135">
        <v>99999</v>
      </c>
      <c r="I135" t="s">
        <v>30</v>
      </c>
      <c r="J135" t="s">
        <v>129</v>
      </c>
      <c r="K135" t="s">
        <v>32</v>
      </c>
      <c r="L135" s="2">
        <v>41801</v>
      </c>
      <c r="M135" t="s">
        <v>46</v>
      </c>
      <c r="N135" t="s">
        <v>130</v>
      </c>
      <c r="O135" t="s">
        <v>126</v>
      </c>
      <c r="P135" t="s">
        <v>127</v>
      </c>
      <c r="Q135" t="s">
        <v>128</v>
      </c>
      <c r="R135">
        <v>99999</v>
      </c>
      <c r="S135" t="s">
        <v>30</v>
      </c>
      <c r="T135" t="s">
        <v>35</v>
      </c>
      <c r="U135" t="s">
        <v>131</v>
      </c>
      <c r="V135" t="s">
        <v>132</v>
      </c>
      <c r="W135">
        <v>19.5</v>
      </c>
      <c r="X135">
        <v>27</v>
      </c>
      <c r="Y135" s="4">
        <v>526.5</v>
      </c>
      <c r="Z135" s="3">
        <v>51.070500000000003</v>
      </c>
    </row>
    <row r="136" spans="1:26" x14ac:dyDescent="0.4">
      <c r="A136">
        <v>1150</v>
      </c>
      <c r="B136" s="2">
        <v>41799</v>
      </c>
      <c r="C136">
        <v>9</v>
      </c>
      <c r="D136" t="s">
        <v>125</v>
      </c>
      <c r="E136" t="s">
        <v>126</v>
      </c>
      <c r="F136" t="s">
        <v>127</v>
      </c>
      <c r="G136" t="s">
        <v>128</v>
      </c>
      <c r="H136">
        <v>99999</v>
      </c>
      <c r="I136" t="s">
        <v>30</v>
      </c>
      <c r="J136" t="s">
        <v>129</v>
      </c>
      <c r="K136" t="s">
        <v>32</v>
      </c>
      <c r="L136" s="2">
        <v>41801</v>
      </c>
      <c r="M136" t="s">
        <v>46</v>
      </c>
      <c r="N136" t="s">
        <v>130</v>
      </c>
      <c r="O136" t="s">
        <v>126</v>
      </c>
      <c r="P136" t="s">
        <v>127</v>
      </c>
      <c r="Q136" t="s">
        <v>128</v>
      </c>
      <c r="R136">
        <v>99999</v>
      </c>
      <c r="S136" t="s">
        <v>30</v>
      </c>
      <c r="T136" t="s">
        <v>35</v>
      </c>
      <c r="U136" t="s">
        <v>133</v>
      </c>
      <c r="V136" t="s">
        <v>134</v>
      </c>
      <c r="W136">
        <v>34.799999999999997</v>
      </c>
      <c r="X136">
        <v>88</v>
      </c>
      <c r="Y136" s="4">
        <v>3062.3999999999996</v>
      </c>
      <c r="Z136" s="3">
        <v>303.17759999999993</v>
      </c>
    </row>
    <row r="137" spans="1:26" x14ac:dyDescent="0.4">
      <c r="A137">
        <v>1151</v>
      </c>
      <c r="B137" s="2">
        <v>41796</v>
      </c>
      <c r="C137">
        <v>6</v>
      </c>
      <c r="D137" t="s">
        <v>82</v>
      </c>
      <c r="E137" t="s">
        <v>83</v>
      </c>
      <c r="F137" t="s">
        <v>84</v>
      </c>
      <c r="G137" t="s">
        <v>85</v>
      </c>
      <c r="H137">
        <v>99999</v>
      </c>
      <c r="I137" t="s">
        <v>30</v>
      </c>
      <c r="J137" t="s">
        <v>86</v>
      </c>
      <c r="K137" t="s">
        <v>61</v>
      </c>
      <c r="L137" s="2">
        <v>41798</v>
      </c>
      <c r="M137" t="s">
        <v>33</v>
      </c>
      <c r="N137" t="s">
        <v>87</v>
      </c>
      <c r="O137" t="s">
        <v>83</v>
      </c>
      <c r="P137" t="s">
        <v>84</v>
      </c>
      <c r="Q137" t="s">
        <v>85</v>
      </c>
      <c r="R137">
        <v>99999</v>
      </c>
      <c r="S137" t="s">
        <v>30</v>
      </c>
      <c r="T137" t="s">
        <v>48</v>
      </c>
      <c r="U137" t="s">
        <v>36</v>
      </c>
      <c r="V137" t="s">
        <v>37</v>
      </c>
      <c r="W137">
        <v>14</v>
      </c>
      <c r="X137">
        <v>65</v>
      </c>
      <c r="Y137" s="4">
        <v>910</v>
      </c>
      <c r="Z137" s="3">
        <v>95.55</v>
      </c>
    </row>
    <row r="138" spans="1:26" x14ac:dyDescent="0.4">
      <c r="A138">
        <v>1152</v>
      </c>
      <c r="B138" s="2">
        <v>41798</v>
      </c>
      <c r="C138">
        <v>8</v>
      </c>
      <c r="D138" t="s">
        <v>56</v>
      </c>
      <c r="E138" t="s">
        <v>57</v>
      </c>
      <c r="F138" t="s">
        <v>58</v>
      </c>
      <c r="G138" t="s">
        <v>59</v>
      </c>
      <c r="H138">
        <v>99999</v>
      </c>
      <c r="I138" t="s">
        <v>30</v>
      </c>
      <c r="J138" t="s">
        <v>60</v>
      </c>
      <c r="K138" t="s">
        <v>61</v>
      </c>
      <c r="L138" s="2">
        <v>41800</v>
      </c>
      <c r="M138" t="s">
        <v>33</v>
      </c>
      <c r="N138" t="s">
        <v>63</v>
      </c>
      <c r="O138" t="s">
        <v>57</v>
      </c>
      <c r="P138" t="s">
        <v>58</v>
      </c>
      <c r="Q138" t="s">
        <v>59</v>
      </c>
      <c r="R138">
        <v>99999</v>
      </c>
      <c r="S138" t="s">
        <v>30</v>
      </c>
      <c r="T138" t="s">
        <v>35</v>
      </c>
      <c r="U138" t="s">
        <v>88</v>
      </c>
      <c r="V138" t="s">
        <v>89</v>
      </c>
      <c r="W138">
        <v>40</v>
      </c>
      <c r="X138">
        <v>38</v>
      </c>
      <c r="Y138" s="4">
        <v>1520</v>
      </c>
      <c r="Z138" s="3">
        <v>148.96</v>
      </c>
    </row>
    <row r="139" spans="1:26" x14ac:dyDescent="0.4">
      <c r="A139">
        <v>1153</v>
      </c>
      <c r="B139" s="2">
        <v>41798</v>
      </c>
      <c r="C139">
        <v>8</v>
      </c>
      <c r="D139" t="s">
        <v>56</v>
      </c>
      <c r="E139" t="s">
        <v>57</v>
      </c>
      <c r="F139" t="s">
        <v>58</v>
      </c>
      <c r="G139" t="s">
        <v>59</v>
      </c>
      <c r="H139">
        <v>99999</v>
      </c>
      <c r="I139" t="s">
        <v>30</v>
      </c>
      <c r="J139" t="s">
        <v>60</v>
      </c>
      <c r="K139" t="s">
        <v>61</v>
      </c>
      <c r="L139">
        <v>41800</v>
      </c>
      <c r="M139" t="s">
        <v>33</v>
      </c>
      <c r="N139" t="s">
        <v>63</v>
      </c>
      <c r="O139" t="s">
        <v>57</v>
      </c>
      <c r="P139" t="s">
        <v>58</v>
      </c>
      <c r="Q139" t="s">
        <v>59</v>
      </c>
      <c r="R139">
        <v>99999</v>
      </c>
      <c r="S139" t="s">
        <v>30</v>
      </c>
      <c r="T139" t="s">
        <v>35</v>
      </c>
      <c r="U139" t="s">
        <v>64</v>
      </c>
      <c r="V139" t="s">
        <v>65</v>
      </c>
      <c r="W139" s="3">
        <v>9.1999999999999993</v>
      </c>
      <c r="X139">
        <v>80</v>
      </c>
      <c r="Y139" s="4">
        <v>736</v>
      </c>
      <c r="Z139" s="3">
        <v>70.656000000000006</v>
      </c>
    </row>
    <row r="140" spans="1:26" x14ac:dyDescent="0.4">
      <c r="A140">
        <v>1154</v>
      </c>
      <c r="B140" s="2">
        <v>41815</v>
      </c>
      <c r="C140">
        <v>25</v>
      </c>
      <c r="D140" t="s">
        <v>137</v>
      </c>
      <c r="E140" t="s">
        <v>138</v>
      </c>
      <c r="F140" t="s">
        <v>99</v>
      </c>
      <c r="G140" t="s">
        <v>100</v>
      </c>
      <c r="H140">
        <v>99999</v>
      </c>
      <c r="I140" t="s">
        <v>30</v>
      </c>
      <c r="J140" t="s">
        <v>101</v>
      </c>
      <c r="K140" t="s">
        <v>45</v>
      </c>
      <c r="L140" s="2">
        <v>41817</v>
      </c>
      <c r="M140" t="s">
        <v>46</v>
      </c>
      <c r="N140" t="s">
        <v>139</v>
      </c>
      <c r="O140" t="s">
        <v>138</v>
      </c>
      <c r="P140" t="s">
        <v>99</v>
      </c>
      <c r="Q140" t="s">
        <v>100</v>
      </c>
      <c r="R140">
        <v>99999</v>
      </c>
      <c r="S140" t="s">
        <v>30</v>
      </c>
      <c r="T140" t="s">
        <v>79</v>
      </c>
      <c r="U140" t="s">
        <v>146</v>
      </c>
      <c r="V140" t="s">
        <v>65</v>
      </c>
      <c r="W140" s="3">
        <v>10</v>
      </c>
      <c r="X140">
        <v>49</v>
      </c>
      <c r="Y140" s="4">
        <v>490</v>
      </c>
      <c r="Z140" s="3">
        <v>47.04</v>
      </c>
    </row>
    <row r="141" spans="1:26" x14ac:dyDescent="0.4">
      <c r="A141">
        <v>1155</v>
      </c>
      <c r="B141" s="2">
        <v>41816</v>
      </c>
      <c r="C141">
        <v>26</v>
      </c>
      <c r="D141" t="s">
        <v>140</v>
      </c>
      <c r="E141" t="s">
        <v>141</v>
      </c>
      <c r="F141" t="s">
        <v>115</v>
      </c>
      <c r="G141" t="s">
        <v>116</v>
      </c>
      <c r="H141">
        <v>99999</v>
      </c>
      <c r="I141" t="s">
        <v>30</v>
      </c>
      <c r="J141" t="s">
        <v>94</v>
      </c>
      <c r="K141" t="s">
        <v>95</v>
      </c>
      <c r="L141" s="2">
        <v>41818</v>
      </c>
      <c r="M141" t="s">
        <v>62</v>
      </c>
      <c r="N141" t="s">
        <v>142</v>
      </c>
      <c r="O141" t="s">
        <v>141</v>
      </c>
      <c r="P141" t="s">
        <v>115</v>
      </c>
      <c r="Q141" t="s">
        <v>116</v>
      </c>
      <c r="R141">
        <v>99999</v>
      </c>
      <c r="S141" t="s">
        <v>30</v>
      </c>
      <c r="T141" t="s">
        <v>48</v>
      </c>
      <c r="U141" t="s">
        <v>147</v>
      </c>
      <c r="V141" t="s">
        <v>148</v>
      </c>
      <c r="W141" s="3">
        <v>21.35</v>
      </c>
      <c r="X141">
        <v>90</v>
      </c>
      <c r="Y141" s="4">
        <v>1921.5000000000002</v>
      </c>
      <c r="Z141" s="3">
        <v>186.38550000000004</v>
      </c>
    </row>
    <row r="142" spans="1:26" x14ac:dyDescent="0.4">
      <c r="A142">
        <v>1156</v>
      </c>
      <c r="B142" s="2">
        <v>41816</v>
      </c>
      <c r="C142">
        <v>26</v>
      </c>
      <c r="D142" t="s">
        <v>140</v>
      </c>
      <c r="E142" t="s">
        <v>141</v>
      </c>
      <c r="F142" t="s">
        <v>115</v>
      </c>
      <c r="G142" t="s">
        <v>116</v>
      </c>
      <c r="H142">
        <v>99999</v>
      </c>
      <c r="I142" t="s">
        <v>30</v>
      </c>
      <c r="J142" t="s">
        <v>94</v>
      </c>
      <c r="K142" t="s">
        <v>95</v>
      </c>
      <c r="L142" s="2">
        <v>41818</v>
      </c>
      <c r="M142" t="s">
        <v>62</v>
      </c>
      <c r="N142" t="s">
        <v>142</v>
      </c>
      <c r="O142" t="s">
        <v>141</v>
      </c>
      <c r="P142" t="s">
        <v>115</v>
      </c>
      <c r="Q142" t="s">
        <v>116</v>
      </c>
      <c r="R142">
        <v>99999</v>
      </c>
      <c r="S142" t="s">
        <v>30</v>
      </c>
      <c r="T142" t="s">
        <v>48</v>
      </c>
      <c r="U142" t="s">
        <v>80</v>
      </c>
      <c r="V142" t="s">
        <v>81</v>
      </c>
      <c r="W142" s="3">
        <v>9.65</v>
      </c>
      <c r="X142">
        <v>60</v>
      </c>
      <c r="Y142" s="4">
        <v>579</v>
      </c>
      <c r="Z142" s="3">
        <v>59.637000000000008</v>
      </c>
    </row>
    <row r="143" spans="1:26" x14ac:dyDescent="0.4">
      <c r="A143">
        <v>1157</v>
      </c>
      <c r="B143" s="2">
        <v>41816</v>
      </c>
      <c r="C143">
        <v>26</v>
      </c>
      <c r="D143" t="s">
        <v>140</v>
      </c>
      <c r="E143" t="s">
        <v>141</v>
      </c>
      <c r="F143" t="s">
        <v>115</v>
      </c>
      <c r="G143" t="s">
        <v>116</v>
      </c>
      <c r="H143">
        <v>99999</v>
      </c>
      <c r="I143" t="s">
        <v>30</v>
      </c>
      <c r="J143" t="s">
        <v>94</v>
      </c>
      <c r="K143" t="s">
        <v>95</v>
      </c>
      <c r="L143">
        <v>41818</v>
      </c>
      <c r="M143" t="s">
        <v>62</v>
      </c>
      <c r="N143" t="s">
        <v>142</v>
      </c>
      <c r="O143" t="s">
        <v>141</v>
      </c>
      <c r="P143" t="s">
        <v>115</v>
      </c>
      <c r="Q143" t="s">
        <v>116</v>
      </c>
      <c r="R143">
        <v>99999</v>
      </c>
      <c r="S143" t="s">
        <v>30</v>
      </c>
      <c r="T143" t="s">
        <v>48</v>
      </c>
      <c r="U143" t="s">
        <v>123</v>
      </c>
      <c r="V143" t="s">
        <v>124</v>
      </c>
      <c r="W143" s="3">
        <v>18.399999999999999</v>
      </c>
      <c r="X143">
        <v>39</v>
      </c>
      <c r="Y143" s="4">
        <v>717.59999999999991</v>
      </c>
      <c r="Z143" s="3">
        <v>71.759999999999991</v>
      </c>
    </row>
    <row r="144" spans="1:26" x14ac:dyDescent="0.4">
      <c r="A144">
        <v>1158</v>
      </c>
      <c r="B144" s="2">
        <v>41819</v>
      </c>
      <c r="C144">
        <v>29</v>
      </c>
      <c r="D144" t="s">
        <v>66</v>
      </c>
      <c r="E144" t="s">
        <v>67</v>
      </c>
      <c r="F144" t="s">
        <v>68</v>
      </c>
      <c r="G144" t="s">
        <v>69</v>
      </c>
      <c r="H144">
        <v>99999</v>
      </c>
      <c r="I144" t="s">
        <v>30</v>
      </c>
      <c r="J144" t="s">
        <v>70</v>
      </c>
      <c r="K144" t="s">
        <v>32</v>
      </c>
      <c r="L144">
        <v>41821</v>
      </c>
      <c r="M144" t="s">
        <v>33</v>
      </c>
      <c r="N144" t="s">
        <v>71</v>
      </c>
      <c r="O144" t="s">
        <v>67</v>
      </c>
      <c r="P144" t="s">
        <v>68</v>
      </c>
      <c r="Q144" t="s">
        <v>69</v>
      </c>
      <c r="R144">
        <v>99999</v>
      </c>
      <c r="S144" t="s">
        <v>30</v>
      </c>
      <c r="T144" t="s">
        <v>35</v>
      </c>
      <c r="U144" t="s">
        <v>36</v>
      </c>
      <c r="V144" t="s">
        <v>37</v>
      </c>
      <c r="W144" s="3">
        <v>14</v>
      </c>
      <c r="X144">
        <v>79</v>
      </c>
      <c r="Y144" s="4">
        <v>1106</v>
      </c>
      <c r="Z144" s="3">
        <v>113.91800000000001</v>
      </c>
    </row>
    <row r="145" spans="1:26" x14ac:dyDescent="0.4">
      <c r="A145">
        <v>1159</v>
      </c>
      <c r="B145" s="2">
        <v>41796</v>
      </c>
      <c r="C145">
        <v>6</v>
      </c>
      <c r="D145" t="s">
        <v>82</v>
      </c>
      <c r="E145" t="s">
        <v>83</v>
      </c>
      <c r="F145" t="s">
        <v>84</v>
      </c>
      <c r="G145" t="s">
        <v>85</v>
      </c>
      <c r="H145">
        <v>99999</v>
      </c>
      <c r="I145" t="s">
        <v>30</v>
      </c>
      <c r="J145" t="s">
        <v>86</v>
      </c>
      <c r="K145" t="s">
        <v>61</v>
      </c>
      <c r="L145">
        <v>41798</v>
      </c>
      <c r="M145" t="s">
        <v>62</v>
      </c>
      <c r="N145" t="s">
        <v>87</v>
      </c>
      <c r="O145" t="s">
        <v>83</v>
      </c>
      <c r="P145" t="s">
        <v>84</v>
      </c>
      <c r="Q145" t="s">
        <v>85</v>
      </c>
      <c r="R145">
        <v>99999</v>
      </c>
      <c r="S145" t="s">
        <v>30</v>
      </c>
      <c r="T145" t="s">
        <v>35</v>
      </c>
      <c r="U145" t="s">
        <v>72</v>
      </c>
      <c r="V145" t="s">
        <v>73</v>
      </c>
      <c r="W145" s="3">
        <v>12.75</v>
      </c>
      <c r="X145">
        <v>44</v>
      </c>
      <c r="Y145" s="4">
        <v>561</v>
      </c>
      <c r="Z145" s="3">
        <v>57.222000000000001</v>
      </c>
    </row>
    <row r="146" spans="1:26" x14ac:dyDescent="0.4">
      <c r="A146">
        <v>1161</v>
      </c>
      <c r="B146" s="2">
        <v>41794</v>
      </c>
      <c r="C146">
        <v>4</v>
      </c>
      <c r="D146" t="s">
        <v>40</v>
      </c>
      <c r="E146" t="s">
        <v>41</v>
      </c>
      <c r="F146" t="s">
        <v>42</v>
      </c>
      <c r="G146" t="s">
        <v>43</v>
      </c>
      <c r="H146">
        <v>99999</v>
      </c>
      <c r="I146" t="s">
        <v>30</v>
      </c>
      <c r="J146" t="s">
        <v>44</v>
      </c>
      <c r="K146" t="s">
        <v>45</v>
      </c>
      <c r="L146">
        <v>41796</v>
      </c>
      <c r="M146" t="s">
        <v>46</v>
      </c>
      <c r="N146" t="s">
        <v>47</v>
      </c>
      <c r="O146" t="s">
        <v>41</v>
      </c>
      <c r="P146" t="s">
        <v>42</v>
      </c>
      <c r="Q146" t="s">
        <v>43</v>
      </c>
      <c r="R146">
        <v>99999</v>
      </c>
      <c r="S146" t="s">
        <v>30</v>
      </c>
      <c r="T146" t="s">
        <v>48</v>
      </c>
      <c r="U146" t="s">
        <v>149</v>
      </c>
      <c r="V146" t="s">
        <v>110</v>
      </c>
      <c r="W146" s="3">
        <v>81</v>
      </c>
      <c r="X146">
        <v>98</v>
      </c>
      <c r="Y146" s="4">
        <v>7938</v>
      </c>
      <c r="Z146" s="3">
        <v>769.98599999999999</v>
      </c>
    </row>
    <row r="147" spans="1:26" x14ac:dyDescent="0.4">
      <c r="A147">
        <v>1162</v>
      </c>
      <c r="B147" s="2">
        <v>41794</v>
      </c>
      <c r="C147">
        <v>4</v>
      </c>
      <c r="D147" t="s">
        <v>40</v>
      </c>
      <c r="E147" t="s">
        <v>41</v>
      </c>
      <c r="F147" t="s">
        <v>42</v>
      </c>
      <c r="G147" t="s">
        <v>43</v>
      </c>
      <c r="H147">
        <v>99999</v>
      </c>
      <c r="I147" t="s">
        <v>30</v>
      </c>
      <c r="J147" t="s">
        <v>44</v>
      </c>
      <c r="K147" t="s">
        <v>45</v>
      </c>
      <c r="L147">
        <v>41796</v>
      </c>
      <c r="M147" t="s">
        <v>46</v>
      </c>
      <c r="N147" t="s">
        <v>47</v>
      </c>
      <c r="O147" t="s">
        <v>41</v>
      </c>
      <c r="P147" t="s">
        <v>42</v>
      </c>
      <c r="Q147" t="s">
        <v>43</v>
      </c>
      <c r="R147">
        <v>99999</v>
      </c>
      <c r="S147" t="s">
        <v>30</v>
      </c>
      <c r="T147" t="s">
        <v>48</v>
      </c>
      <c r="U147" t="s">
        <v>150</v>
      </c>
      <c r="V147" t="s">
        <v>151</v>
      </c>
      <c r="W147" s="3">
        <v>7</v>
      </c>
      <c r="X147">
        <v>61</v>
      </c>
      <c r="Y147" s="4">
        <v>427</v>
      </c>
      <c r="Z147" s="3">
        <v>42.273000000000003</v>
      </c>
    </row>
    <row r="148" spans="1:26" x14ac:dyDescent="0.4">
      <c r="A148">
        <v>1164</v>
      </c>
      <c r="B148" s="2">
        <v>41798</v>
      </c>
      <c r="C148">
        <v>8</v>
      </c>
      <c r="D148" t="s">
        <v>56</v>
      </c>
      <c r="E148" t="s">
        <v>57</v>
      </c>
      <c r="F148" t="s">
        <v>58</v>
      </c>
      <c r="G148" t="s">
        <v>59</v>
      </c>
      <c r="H148">
        <v>99999</v>
      </c>
      <c r="I148" t="s">
        <v>30</v>
      </c>
      <c r="J148" t="s">
        <v>60</v>
      </c>
      <c r="K148" t="s">
        <v>61</v>
      </c>
      <c r="L148" s="2">
        <v>41800</v>
      </c>
      <c r="M148" t="s">
        <v>62</v>
      </c>
      <c r="N148" t="s">
        <v>63</v>
      </c>
      <c r="O148" t="s">
        <v>57</v>
      </c>
      <c r="P148" t="s">
        <v>58</v>
      </c>
      <c r="Q148" t="s">
        <v>59</v>
      </c>
      <c r="R148">
        <v>99999</v>
      </c>
      <c r="S148" t="s">
        <v>30</v>
      </c>
      <c r="T148" t="s">
        <v>48</v>
      </c>
      <c r="U148" t="s">
        <v>133</v>
      </c>
      <c r="V148" t="s">
        <v>134</v>
      </c>
      <c r="W148" s="3">
        <v>34.799999999999997</v>
      </c>
      <c r="X148">
        <v>30</v>
      </c>
      <c r="Y148" s="4">
        <v>1044</v>
      </c>
      <c r="Z148" s="3">
        <v>109.62</v>
      </c>
    </row>
    <row r="149" spans="1:26" x14ac:dyDescent="0.4">
      <c r="A149">
        <v>1167</v>
      </c>
      <c r="B149" s="2">
        <v>41793</v>
      </c>
      <c r="C149">
        <v>3</v>
      </c>
      <c r="D149" t="s">
        <v>74</v>
      </c>
      <c r="E149" t="s">
        <v>75</v>
      </c>
      <c r="F149" t="s">
        <v>76</v>
      </c>
      <c r="G149" t="s">
        <v>77</v>
      </c>
      <c r="H149">
        <v>99999</v>
      </c>
      <c r="I149" t="s">
        <v>30</v>
      </c>
      <c r="J149" t="s">
        <v>31</v>
      </c>
      <c r="K149" t="s">
        <v>32</v>
      </c>
      <c r="L149" s="2">
        <v>41795</v>
      </c>
      <c r="M149" t="s">
        <v>33</v>
      </c>
      <c r="N149" t="s">
        <v>78</v>
      </c>
      <c r="O149" t="s">
        <v>75</v>
      </c>
      <c r="P149" t="s">
        <v>76</v>
      </c>
      <c r="Q149" t="s">
        <v>77</v>
      </c>
      <c r="R149">
        <v>99999</v>
      </c>
      <c r="S149" t="s">
        <v>30</v>
      </c>
      <c r="T149" t="s">
        <v>79</v>
      </c>
      <c r="U149" t="s">
        <v>135</v>
      </c>
      <c r="V149" t="s">
        <v>112</v>
      </c>
      <c r="W149" s="3">
        <v>10</v>
      </c>
      <c r="X149">
        <v>24</v>
      </c>
      <c r="Y149" s="4">
        <v>240</v>
      </c>
      <c r="Z149" s="3">
        <v>25.200000000000003</v>
      </c>
    </row>
    <row r="150" spans="1:26" x14ac:dyDescent="0.4">
      <c r="A150">
        <v>1168</v>
      </c>
      <c r="B150" s="2">
        <v>41793</v>
      </c>
      <c r="C150">
        <v>3</v>
      </c>
      <c r="D150" t="s">
        <v>74</v>
      </c>
      <c r="E150" t="s">
        <v>75</v>
      </c>
      <c r="F150" t="s">
        <v>76</v>
      </c>
      <c r="G150" t="s">
        <v>77</v>
      </c>
      <c r="H150">
        <v>99999</v>
      </c>
      <c r="I150" t="s">
        <v>30</v>
      </c>
      <c r="J150" t="s">
        <v>31</v>
      </c>
      <c r="K150" t="s">
        <v>32</v>
      </c>
      <c r="L150" s="2">
        <v>41795</v>
      </c>
      <c r="M150" t="s">
        <v>33</v>
      </c>
      <c r="N150" t="s">
        <v>78</v>
      </c>
      <c r="O150" t="s">
        <v>75</v>
      </c>
      <c r="P150" t="s">
        <v>76</v>
      </c>
      <c r="Q150" t="s">
        <v>77</v>
      </c>
      <c r="R150">
        <v>99999</v>
      </c>
      <c r="S150" t="s">
        <v>30</v>
      </c>
      <c r="T150" t="s">
        <v>79</v>
      </c>
      <c r="U150" t="s">
        <v>88</v>
      </c>
      <c r="V150" t="s">
        <v>89</v>
      </c>
      <c r="W150" s="3">
        <v>40</v>
      </c>
      <c r="X150">
        <v>28</v>
      </c>
      <c r="Y150" s="4">
        <v>1120</v>
      </c>
      <c r="Z150" s="3">
        <v>109.75999999999999</v>
      </c>
    </row>
    <row r="151" spans="1:26" x14ac:dyDescent="0.4">
      <c r="A151">
        <v>1172</v>
      </c>
      <c r="B151" s="2">
        <v>41800</v>
      </c>
      <c r="C151">
        <v>10</v>
      </c>
      <c r="D151" t="s">
        <v>97</v>
      </c>
      <c r="E151" t="s">
        <v>98</v>
      </c>
      <c r="F151" t="s">
        <v>99</v>
      </c>
      <c r="G151" t="s">
        <v>100</v>
      </c>
      <c r="H151">
        <v>99999</v>
      </c>
      <c r="I151" t="s">
        <v>30</v>
      </c>
      <c r="J151" t="s">
        <v>101</v>
      </c>
      <c r="K151" t="s">
        <v>45</v>
      </c>
      <c r="L151" s="2">
        <v>41802</v>
      </c>
      <c r="M151" t="s">
        <v>33</v>
      </c>
      <c r="N151" t="s">
        <v>102</v>
      </c>
      <c r="O151" t="s">
        <v>98</v>
      </c>
      <c r="P151" t="s">
        <v>99</v>
      </c>
      <c r="Q151" t="s">
        <v>100</v>
      </c>
      <c r="R151">
        <v>99999</v>
      </c>
      <c r="S151" t="s">
        <v>30</v>
      </c>
      <c r="T151" t="s">
        <v>48</v>
      </c>
      <c r="U151" t="s">
        <v>136</v>
      </c>
      <c r="V151" t="s">
        <v>39</v>
      </c>
      <c r="W151" s="3">
        <v>10</v>
      </c>
      <c r="X151">
        <v>74</v>
      </c>
      <c r="Y151" s="4">
        <v>740</v>
      </c>
      <c r="Z151" s="3">
        <v>71.78</v>
      </c>
    </row>
    <row r="152" spans="1:26" hidden="1" x14ac:dyDescent="0.4">
      <c r="A152">
        <v>1174</v>
      </c>
      <c r="B152" s="2">
        <v>41800</v>
      </c>
      <c r="C152">
        <v>10</v>
      </c>
      <c r="D152" t="s">
        <v>97</v>
      </c>
      <c r="E152" t="s">
        <v>98</v>
      </c>
      <c r="F152" t="s">
        <v>99</v>
      </c>
      <c r="G152" t="s">
        <v>100</v>
      </c>
      <c r="H152">
        <v>99999</v>
      </c>
      <c r="I152" t="s">
        <v>30</v>
      </c>
      <c r="J152" t="s">
        <v>101</v>
      </c>
      <c r="K152" t="s">
        <v>45</v>
      </c>
      <c r="L152" s="2"/>
      <c r="M152" t="s">
        <v>46</v>
      </c>
      <c r="N152" t="s">
        <v>102</v>
      </c>
      <c r="O152" t="s">
        <v>98</v>
      </c>
      <c r="P152" t="s">
        <v>99</v>
      </c>
      <c r="Q152" t="s">
        <v>100</v>
      </c>
      <c r="R152">
        <v>99999</v>
      </c>
      <c r="S152" t="s">
        <v>30</v>
      </c>
      <c r="U152" t="s">
        <v>38</v>
      </c>
      <c r="V152" t="s">
        <v>39</v>
      </c>
      <c r="W152" s="3">
        <v>3.5</v>
      </c>
      <c r="X152">
        <v>90</v>
      </c>
      <c r="Y152" s="4">
        <v>315</v>
      </c>
      <c r="Z152" s="3">
        <v>30.24</v>
      </c>
    </row>
    <row r="153" spans="1:26" hidden="1" x14ac:dyDescent="0.4">
      <c r="A153">
        <v>1175</v>
      </c>
      <c r="B153" s="2">
        <v>41801</v>
      </c>
      <c r="C153">
        <v>11</v>
      </c>
      <c r="D153" t="s">
        <v>113</v>
      </c>
      <c r="E153" t="s">
        <v>114</v>
      </c>
      <c r="F153" t="s">
        <v>115</v>
      </c>
      <c r="G153" t="s">
        <v>116</v>
      </c>
      <c r="H153">
        <v>99999</v>
      </c>
      <c r="I153" t="s">
        <v>30</v>
      </c>
      <c r="J153" t="s">
        <v>94</v>
      </c>
      <c r="K153" t="s">
        <v>95</v>
      </c>
      <c r="L153" s="2"/>
      <c r="M153" t="s">
        <v>62</v>
      </c>
      <c r="N153" t="s">
        <v>117</v>
      </c>
      <c r="O153" t="s">
        <v>114</v>
      </c>
      <c r="P153" t="s">
        <v>115</v>
      </c>
      <c r="Q153" t="s">
        <v>116</v>
      </c>
      <c r="R153">
        <v>99999</v>
      </c>
      <c r="S153" t="s">
        <v>30</v>
      </c>
      <c r="U153" t="s">
        <v>88</v>
      </c>
      <c r="V153" t="s">
        <v>89</v>
      </c>
      <c r="W153" s="3">
        <v>40</v>
      </c>
      <c r="X153">
        <v>27</v>
      </c>
      <c r="Y153" s="4">
        <v>1080</v>
      </c>
      <c r="Z153" s="3">
        <v>111.24000000000001</v>
      </c>
    </row>
    <row r="154" spans="1:26" hidden="1" x14ac:dyDescent="0.4">
      <c r="A154">
        <v>1176</v>
      </c>
      <c r="B154" s="2">
        <v>41791</v>
      </c>
      <c r="C154">
        <v>1</v>
      </c>
      <c r="D154" t="s">
        <v>118</v>
      </c>
      <c r="E154" t="s">
        <v>119</v>
      </c>
      <c r="F154" t="s">
        <v>120</v>
      </c>
      <c r="G154" t="s">
        <v>121</v>
      </c>
      <c r="H154">
        <v>99999</v>
      </c>
      <c r="I154" t="s">
        <v>30</v>
      </c>
      <c r="J154" t="s">
        <v>60</v>
      </c>
      <c r="K154" t="s">
        <v>61</v>
      </c>
      <c r="L154" s="2"/>
      <c r="M154" t="s">
        <v>62</v>
      </c>
      <c r="N154" t="s">
        <v>122</v>
      </c>
      <c r="O154" t="s">
        <v>119</v>
      </c>
      <c r="P154" t="s">
        <v>120</v>
      </c>
      <c r="Q154" t="s">
        <v>121</v>
      </c>
      <c r="R154">
        <v>99999</v>
      </c>
      <c r="S154" t="s">
        <v>30</v>
      </c>
      <c r="U154" t="s">
        <v>123</v>
      </c>
      <c r="V154" t="s">
        <v>124</v>
      </c>
      <c r="W154" s="3">
        <v>18.399999999999999</v>
      </c>
      <c r="X154">
        <v>71</v>
      </c>
      <c r="Y154" s="4">
        <v>1306.3999999999999</v>
      </c>
      <c r="Z154" s="3">
        <v>137.172</v>
      </c>
    </row>
    <row r="155" spans="1:26" x14ac:dyDescent="0.4">
      <c r="A155">
        <v>1177</v>
      </c>
      <c r="B155" s="2">
        <v>41818</v>
      </c>
      <c r="C155">
        <v>28</v>
      </c>
      <c r="D155" t="s">
        <v>90</v>
      </c>
      <c r="E155" t="s">
        <v>91</v>
      </c>
      <c r="F155" t="s">
        <v>92</v>
      </c>
      <c r="G155" t="s">
        <v>93</v>
      </c>
      <c r="H155">
        <v>99999</v>
      </c>
      <c r="I155" t="s">
        <v>30</v>
      </c>
      <c r="J155" t="s">
        <v>94</v>
      </c>
      <c r="K155" t="s">
        <v>95</v>
      </c>
      <c r="L155" s="2">
        <v>41820</v>
      </c>
      <c r="M155" t="s">
        <v>62</v>
      </c>
      <c r="N155" t="s">
        <v>96</v>
      </c>
      <c r="O155" t="s">
        <v>91</v>
      </c>
      <c r="P155" t="s">
        <v>92</v>
      </c>
      <c r="Q155" t="s">
        <v>93</v>
      </c>
      <c r="R155">
        <v>99999</v>
      </c>
      <c r="S155" t="s">
        <v>30</v>
      </c>
      <c r="T155" t="s">
        <v>48</v>
      </c>
      <c r="U155" t="s">
        <v>55</v>
      </c>
      <c r="V155" t="s">
        <v>37</v>
      </c>
      <c r="W155" s="3">
        <v>46</v>
      </c>
      <c r="X155">
        <v>74</v>
      </c>
      <c r="Y155" s="4">
        <v>3404</v>
      </c>
      <c r="Z155" s="3">
        <v>340.40000000000003</v>
      </c>
    </row>
    <row r="156" spans="1:26" x14ac:dyDescent="0.4">
      <c r="A156">
        <v>1178</v>
      </c>
      <c r="B156" s="2">
        <v>41799</v>
      </c>
      <c r="C156">
        <v>9</v>
      </c>
      <c r="D156" t="s">
        <v>125</v>
      </c>
      <c r="E156" t="s">
        <v>126</v>
      </c>
      <c r="F156" t="s">
        <v>127</v>
      </c>
      <c r="G156" t="s">
        <v>128</v>
      </c>
      <c r="H156">
        <v>99999</v>
      </c>
      <c r="I156" t="s">
        <v>30</v>
      </c>
      <c r="J156" t="s">
        <v>129</v>
      </c>
      <c r="K156" t="s">
        <v>32</v>
      </c>
      <c r="L156" s="2">
        <v>41801</v>
      </c>
      <c r="M156" t="s">
        <v>46</v>
      </c>
      <c r="N156" t="s">
        <v>130</v>
      </c>
      <c r="O156" t="s">
        <v>126</v>
      </c>
      <c r="P156" t="s">
        <v>127</v>
      </c>
      <c r="Q156" t="s">
        <v>128</v>
      </c>
      <c r="R156">
        <v>99999</v>
      </c>
      <c r="S156" t="s">
        <v>30</v>
      </c>
      <c r="T156" t="s">
        <v>35</v>
      </c>
      <c r="U156" t="s">
        <v>80</v>
      </c>
      <c r="V156" t="s">
        <v>81</v>
      </c>
      <c r="W156" s="3">
        <v>9.65</v>
      </c>
      <c r="X156">
        <v>76</v>
      </c>
      <c r="Y156" s="4">
        <v>733.4</v>
      </c>
      <c r="Z156" s="3">
        <v>72.6066</v>
      </c>
    </row>
    <row r="157" spans="1:26" x14ac:dyDescent="0.4">
      <c r="A157">
        <v>1179</v>
      </c>
      <c r="B157" s="2">
        <v>41796</v>
      </c>
      <c r="C157">
        <v>6</v>
      </c>
      <c r="D157" t="s">
        <v>82</v>
      </c>
      <c r="E157" t="s">
        <v>83</v>
      </c>
      <c r="F157" t="s">
        <v>84</v>
      </c>
      <c r="G157" t="s">
        <v>85</v>
      </c>
      <c r="H157">
        <v>99999</v>
      </c>
      <c r="I157" t="s">
        <v>30</v>
      </c>
      <c r="J157" t="s">
        <v>86</v>
      </c>
      <c r="K157" t="s">
        <v>61</v>
      </c>
      <c r="L157" s="2">
        <v>41798</v>
      </c>
      <c r="M157" t="s">
        <v>33</v>
      </c>
      <c r="N157" t="s">
        <v>87</v>
      </c>
      <c r="O157" t="s">
        <v>83</v>
      </c>
      <c r="P157" t="s">
        <v>84</v>
      </c>
      <c r="Q157" t="s">
        <v>85</v>
      </c>
      <c r="R157">
        <v>99999</v>
      </c>
      <c r="S157" t="s">
        <v>30</v>
      </c>
      <c r="T157" t="s">
        <v>48</v>
      </c>
      <c r="U157" t="s">
        <v>72</v>
      </c>
      <c r="V157" t="s">
        <v>73</v>
      </c>
      <c r="W157" s="3">
        <v>12.75</v>
      </c>
      <c r="X157">
        <v>96</v>
      </c>
      <c r="Y157" s="4">
        <v>1224</v>
      </c>
      <c r="Z157" s="3">
        <v>123.62400000000001</v>
      </c>
    </row>
    <row r="158" spans="1:26" x14ac:dyDescent="0.4">
      <c r="A158">
        <v>1180</v>
      </c>
      <c r="B158" s="2">
        <v>41798</v>
      </c>
      <c r="C158">
        <v>8</v>
      </c>
      <c r="D158" t="s">
        <v>56</v>
      </c>
      <c r="E158" t="s">
        <v>57</v>
      </c>
      <c r="F158" t="s">
        <v>58</v>
      </c>
      <c r="G158" t="s">
        <v>59</v>
      </c>
      <c r="H158">
        <v>99999</v>
      </c>
      <c r="I158" t="s">
        <v>30</v>
      </c>
      <c r="J158" t="s">
        <v>60</v>
      </c>
      <c r="K158" t="s">
        <v>61</v>
      </c>
      <c r="L158" s="2">
        <v>41800</v>
      </c>
      <c r="M158" t="s">
        <v>33</v>
      </c>
      <c r="N158" t="s">
        <v>63</v>
      </c>
      <c r="O158" t="s">
        <v>57</v>
      </c>
      <c r="P158" t="s">
        <v>58</v>
      </c>
      <c r="Q158" t="s">
        <v>59</v>
      </c>
      <c r="R158">
        <v>99999</v>
      </c>
      <c r="S158" t="s">
        <v>30</v>
      </c>
      <c r="T158" t="s">
        <v>35</v>
      </c>
      <c r="U158" t="s">
        <v>72</v>
      </c>
      <c r="V158" t="s">
        <v>73</v>
      </c>
      <c r="W158" s="3">
        <v>12.75</v>
      </c>
      <c r="X158">
        <v>92</v>
      </c>
      <c r="Y158" s="4">
        <v>1173</v>
      </c>
      <c r="Z158" s="3">
        <v>116.12700000000001</v>
      </c>
    </row>
    <row r="159" spans="1:26" x14ac:dyDescent="0.4">
      <c r="A159">
        <v>1181</v>
      </c>
      <c r="B159" s="2">
        <v>41815</v>
      </c>
      <c r="C159">
        <v>25</v>
      </c>
      <c r="D159" t="s">
        <v>137</v>
      </c>
      <c r="E159" t="s">
        <v>138</v>
      </c>
      <c r="F159" t="s">
        <v>99</v>
      </c>
      <c r="G159" t="s">
        <v>100</v>
      </c>
      <c r="H159">
        <v>99999</v>
      </c>
      <c r="I159" t="s">
        <v>30</v>
      </c>
      <c r="J159" t="s">
        <v>101</v>
      </c>
      <c r="K159" t="s">
        <v>45</v>
      </c>
      <c r="L159" s="2">
        <v>41817</v>
      </c>
      <c r="M159" t="s">
        <v>46</v>
      </c>
      <c r="N159" t="s">
        <v>139</v>
      </c>
      <c r="O159" t="s">
        <v>138</v>
      </c>
      <c r="P159" t="s">
        <v>99</v>
      </c>
      <c r="Q159" t="s">
        <v>100</v>
      </c>
      <c r="R159">
        <v>99999</v>
      </c>
      <c r="S159" t="s">
        <v>30</v>
      </c>
      <c r="T159" t="s">
        <v>79</v>
      </c>
      <c r="U159" t="s">
        <v>111</v>
      </c>
      <c r="V159" t="s">
        <v>112</v>
      </c>
      <c r="W159" s="3">
        <v>22</v>
      </c>
      <c r="X159">
        <v>93</v>
      </c>
      <c r="Y159" s="4">
        <v>2046</v>
      </c>
      <c r="Z159" s="3">
        <v>200.50800000000001</v>
      </c>
    </row>
    <row r="160" spans="1:26" x14ac:dyDescent="0.4">
      <c r="A160">
        <v>1182</v>
      </c>
      <c r="B160" s="2">
        <v>41816</v>
      </c>
      <c r="C160">
        <v>26</v>
      </c>
      <c r="D160" t="s">
        <v>140</v>
      </c>
      <c r="E160" t="s">
        <v>141</v>
      </c>
      <c r="F160" t="s">
        <v>115</v>
      </c>
      <c r="G160" t="s">
        <v>116</v>
      </c>
      <c r="H160">
        <v>99999</v>
      </c>
      <c r="I160" t="s">
        <v>30</v>
      </c>
      <c r="J160" t="s">
        <v>94</v>
      </c>
      <c r="K160" t="s">
        <v>95</v>
      </c>
      <c r="L160" s="2">
        <v>41818</v>
      </c>
      <c r="M160" t="s">
        <v>62</v>
      </c>
      <c r="N160" t="s">
        <v>142</v>
      </c>
      <c r="O160" t="s">
        <v>141</v>
      </c>
      <c r="P160" t="s">
        <v>115</v>
      </c>
      <c r="Q160" t="s">
        <v>116</v>
      </c>
      <c r="R160">
        <v>99999</v>
      </c>
      <c r="S160" t="s">
        <v>30</v>
      </c>
      <c r="T160" t="s">
        <v>48</v>
      </c>
      <c r="U160" t="s">
        <v>109</v>
      </c>
      <c r="V160" t="s">
        <v>110</v>
      </c>
      <c r="W160" s="3">
        <v>25</v>
      </c>
      <c r="X160">
        <v>18</v>
      </c>
      <c r="Y160" s="4">
        <v>450</v>
      </c>
      <c r="Z160" s="3">
        <v>42.75</v>
      </c>
    </row>
    <row r="161" spans="1:26" x14ac:dyDescent="0.4">
      <c r="A161">
        <v>1183</v>
      </c>
      <c r="B161" s="2">
        <v>41819</v>
      </c>
      <c r="C161">
        <v>29</v>
      </c>
      <c r="D161" t="s">
        <v>66</v>
      </c>
      <c r="E161" t="s">
        <v>67</v>
      </c>
      <c r="F161" t="s">
        <v>68</v>
      </c>
      <c r="G161" t="s">
        <v>69</v>
      </c>
      <c r="H161">
        <v>99999</v>
      </c>
      <c r="I161" t="s">
        <v>30</v>
      </c>
      <c r="J161" t="s">
        <v>70</v>
      </c>
      <c r="K161" t="s">
        <v>32</v>
      </c>
      <c r="L161" s="2">
        <v>41821</v>
      </c>
      <c r="M161" t="s">
        <v>33</v>
      </c>
      <c r="N161" t="s">
        <v>71</v>
      </c>
      <c r="O161" t="s">
        <v>67</v>
      </c>
      <c r="P161" t="s">
        <v>68</v>
      </c>
      <c r="Q161" t="s">
        <v>69</v>
      </c>
      <c r="R161">
        <v>99999</v>
      </c>
      <c r="S161" t="s">
        <v>30</v>
      </c>
      <c r="T161" t="s">
        <v>35</v>
      </c>
      <c r="U161" t="s">
        <v>143</v>
      </c>
      <c r="V161" t="s">
        <v>144</v>
      </c>
      <c r="W161">
        <v>39</v>
      </c>
      <c r="X161">
        <v>98</v>
      </c>
      <c r="Y161" s="4">
        <v>3822</v>
      </c>
      <c r="Z161" s="3">
        <v>397.48800000000006</v>
      </c>
    </row>
    <row r="162" spans="1:26" x14ac:dyDescent="0.4">
      <c r="A162">
        <v>1184</v>
      </c>
      <c r="B162" s="2">
        <v>41796</v>
      </c>
      <c r="C162">
        <v>6</v>
      </c>
      <c r="D162" t="s">
        <v>82</v>
      </c>
      <c r="E162" t="s">
        <v>83</v>
      </c>
      <c r="F162" t="s">
        <v>84</v>
      </c>
      <c r="G162" t="s">
        <v>85</v>
      </c>
      <c r="H162">
        <v>99999</v>
      </c>
      <c r="I162" t="s">
        <v>30</v>
      </c>
      <c r="J162" t="s">
        <v>86</v>
      </c>
      <c r="K162" t="s">
        <v>61</v>
      </c>
      <c r="L162" s="2">
        <v>41798</v>
      </c>
      <c r="M162" t="s">
        <v>62</v>
      </c>
      <c r="N162" t="s">
        <v>87</v>
      </c>
      <c r="O162" t="s">
        <v>83</v>
      </c>
      <c r="P162" t="s">
        <v>84</v>
      </c>
      <c r="Q162" t="s">
        <v>85</v>
      </c>
      <c r="R162">
        <v>99999</v>
      </c>
      <c r="S162" t="s">
        <v>30</v>
      </c>
      <c r="T162" t="s">
        <v>35</v>
      </c>
      <c r="U162" t="s">
        <v>49</v>
      </c>
      <c r="V162" t="s">
        <v>39</v>
      </c>
      <c r="W162">
        <v>30</v>
      </c>
      <c r="X162">
        <v>46</v>
      </c>
      <c r="Y162" s="4">
        <v>1380</v>
      </c>
      <c r="Z162" s="3">
        <v>135.24</v>
      </c>
    </row>
    <row r="163" spans="1:26" x14ac:dyDescent="0.4">
      <c r="A163">
        <v>1185</v>
      </c>
      <c r="B163" s="2">
        <v>41796</v>
      </c>
      <c r="C163">
        <v>6</v>
      </c>
      <c r="D163" t="s">
        <v>82</v>
      </c>
      <c r="E163" t="s">
        <v>83</v>
      </c>
      <c r="F163" t="s">
        <v>84</v>
      </c>
      <c r="G163" t="s">
        <v>85</v>
      </c>
      <c r="H163">
        <v>99999</v>
      </c>
      <c r="I163" t="s">
        <v>30</v>
      </c>
      <c r="J163" t="s">
        <v>86</v>
      </c>
      <c r="K163" t="s">
        <v>61</v>
      </c>
      <c r="L163" s="2">
        <v>41798</v>
      </c>
      <c r="M163" t="s">
        <v>62</v>
      </c>
      <c r="N163" t="s">
        <v>87</v>
      </c>
      <c r="O163" t="s">
        <v>83</v>
      </c>
      <c r="P163" t="s">
        <v>84</v>
      </c>
      <c r="Q163" t="s">
        <v>85</v>
      </c>
      <c r="R163">
        <v>99999</v>
      </c>
      <c r="S163" t="s">
        <v>30</v>
      </c>
      <c r="T163" t="s">
        <v>35</v>
      </c>
      <c r="U163" t="s">
        <v>50</v>
      </c>
      <c r="V163" t="s">
        <v>39</v>
      </c>
      <c r="W163">
        <v>53</v>
      </c>
      <c r="X163">
        <v>14</v>
      </c>
      <c r="Y163" s="4">
        <v>742</v>
      </c>
      <c r="Z163" s="3">
        <v>74.2</v>
      </c>
    </row>
    <row r="164" spans="1:26" hidden="1" x14ac:dyDescent="0.4">
      <c r="A164">
        <v>1186</v>
      </c>
      <c r="B164" s="2">
        <v>41794</v>
      </c>
      <c r="C164">
        <v>4</v>
      </c>
      <c r="D164" t="s">
        <v>40</v>
      </c>
      <c r="E164" t="s">
        <v>41</v>
      </c>
      <c r="F164" t="s">
        <v>42</v>
      </c>
      <c r="G164" t="s">
        <v>43</v>
      </c>
      <c r="H164">
        <v>99999</v>
      </c>
      <c r="I164" t="s">
        <v>30</v>
      </c>
      <c r="J164" t="s">
        <v>44</v>
      </c>
      <c r="K164" t="s">
        <v>45</v>
      </c>
      <c r="L164" s="2"/>
      <c r="N164" t="s">
        <v>47</v>
      </c>
      <c r="O164" t="s">
        <v>41</v>
      </c>
      <c r="P164" t="s">
        <v>42</v>
      </c>
      <c r="Q164" t="s">
        <v>43</v>
      </c>
      <c r="R164">
        <v>99999</v>
      </c>
      <c r="S164" t="s">
        <v>30</v>
      </c>
      <c r="U164" t="s">
        <v>145</v>
      </c>
      <c r="V164" t="s">
        <v>132</v>
      </c>
      <c r="W164">
        <v>38</v>
      </c>
      <c r="X164">
        <v>85</v>
      </c>
      <c r="Y164" s="4">
        <v>3230</v>
      </c>
      <c r="Z164" s="3">
        <v>319.77</v>
      </c>
    </row>
    <row r="165" spans="1:26" hidden="1" x14ac:dyDescent="0.4">
      <c r="A165">
        <v>1187</v>
      </c>
      <c r="B165" s="2">
        <v>41793</v>
      </c>
      <c r="C165">
        <v>3</v>
      </c>
      <c r="D165" t="s">
        <v>74</v>
      </c>
      <c r="E165" t="s">
        <v>75</v>
      </c>
      <c r="F165" t="s">
        <v>76</v>
      </c>
      <c r="G165" t="s">
        <v>77</v>
      </c>
      <c r="H165">
        <v>99999</v>
      </c>
      <c r="I165" t="s">
        <v>30</v>
      </c>
      <c r="J165" t="s">
        <v>31</v>
      </c>
      <c r="K165" t="s">
        <v>32</v>
      </c>
      <c r="L165" s="2"/>
      <c r="N165" t="s">
        <v>78</v>
      </c>
      <c r="O165" t="s">
        <v>75</v>
      </c>
      <c r="P165" t="s">
        <v>76</v>
      </c>
      <c r="Q165" t="s">
        <v>77</v>
      </c>
      <c r="R165">
        <v>99999</v>
      </c>
      <c r="S165" t="s">
        <v>30</v>
      </c>
      <c r="U165" t="s">
        <v>103</v>
      </c>
      <c r="V165" t="s">
        <v>37</v>
      </c>
      <c r="W165">
        <v>2.99</v>
      </c>
      <c r="X165">
        <v>88</v>
      </c>
      <c r="Y165" s="4">
        <v>263.12</v>
      </c>
      <c r="Z165" s="3">
        <v>25.522639999999999</v>
      </c>
    </row>
    <row r="166" spans="1:26" hidden="1" x14ac:dyDescent="0.4">
      <c r="A166">
        <v>1188</v>
      </c>
      <c r="B166" s="2">
        <v>41821</v>
      </c>
      <c r="C166">
        <v>1</v>
      </c>
      <c r="D166" t="s">
        <v>118</v>
      </c>
      <c r="E166" t="s">
        <v>119</v>
      </c>
      <c r="F166" t="s">
        <v>120</v>
      </c>
      <c r="G166" t="s">
        <v>121</v>
      </c>
      <c r="H166">
        <v>99999</v>
      </c>
      <c r="I166" t="s">
        <v>30</v>
      </c>
      <c r="J166" t="s">
        <v>60</v>
      </c>
      <c r="K166" t="s">
        <v>61</v>
      </c>
      <c r="L166" s="2"/>
      <c r="N166" t="s">
        <v>122</v>
      </c>
      <c r="O166" t="s">
        <v>119</v>
      </c>
      <c r="P166" t="s">
        <v>120</v>
      </c>
      <c r="Q166" t="s">
        <v>121</v>
      </c>
      <c r="R166">
        <v>99999</v>
      </c>
      <c r="S166" t="s">
        <v>30</v>
      </c>
      <c r="U166" t="s">
        <v>103</v>
      </c>
      <c r="V166" t="s">
        <v>37</v>
      </c>
      <c r="W166">
        <v>2.99</v>
      </c>
      <c r="X166">
        <v>81</v>
      </c>
      <c r="Y166" s="4">
        <v>242.19000000000003</v>
      </c>
      <c r="Z166" s="3">
        <v>23.976810000000004</v>
      </c>
    </row>
    <row r="167" spans="1:26" x14ac:dyDescent="0.4">
      <c r="A167">
        <v>1189</v>
      </c>
      <c r="B167" s="2">
        <v>41848</v>
      </c>
      <c r="C167">
        <v>28</v>
      </c>
      <c r="D167" t="s">
        <v>90</v>
      </c>
      <c r="E167" t="s">
        <v>91</v>
      </c>
      <c r="F167" t="s">
        <v>92</v>
      </c>
      <c r="G167" t="s">
        <v>93</v>
      </c>
      <c r="H167">
        <v>99999</v>
      </c>
      <c r="I167" t="s">
        <v>30</v>
      </c>
      <c r="J167" t="s">
        <v>94</v>
      </c>
      <c r="K167" t="s">
        <v>95</v>
      </c>
      <c r="L167" s="2">
        <v>41850</v>
      </c>
      <c r="M167" t="s">
        <v>62</v>
      </c>
      <c r="N167" t="s">
        <v>96</v>
      </c>
      <c r="O167" t="s">
        <v>91</v>
      </c>
      <c r="P167" t="s">
        <v>92</v>
      </c>
      <c r="Q167" t="s">
        <v>93</v>
      </c>
      <c r="R167">
        <v>99999</v>
      </c>
      <c r="S167" t="s">
        <v>30</v>
      </c>
      <c r="T167" t="s">
        <v>48</v>
      </c>
      <c r="U167" t="s">
        <v>80</v>
      </c>
      <c r="V167" t="s">
        <v>81</v>
      </c>
      <c r="W167">
        <v>9.65</v>
      </c>
      <c r="X167">
        <v>33</v>
      </c>
      <c r="Y167" s="4">
        <v>318.45</v>
      </c>
      <c r="Z167" s="3">
        <v>30.252749999999999</v>
      </c>
    </row>
    <row r="168" spans="1:26" x14ac:dyDescent="0.4">
      <c r="A168">
        <v>1190</v>
      </c>
      <c r="B168" s="2">
        <v>41848</v>
      </c>
      <c r="C168">
        <v>28</v>
      </c>
      <c r="D168" t="s">
        <v>90</v>
      </c>
      <c r="E168" t="s">
        <v>91</v>
      </c>
      <c r="F168" t="s">
        <v>92</v>
      </c>
      <c r="G168" t="s">
        <v>93</v>
      </c>
      <c r="H168">
        <v>99999</v>
      </c>
      <c r="I168" t="s">
        <v>30</v>
      </c>
      <c r="J168" t="s">
        <v>94</v>
      </c>
      <c r="K168" t="s">
        <v>95</v>
      </c>
      <c r="L168" s="2">
        <v>41850</v>
      </c>
      <c r="M168" t="s">
        <v>62</v>
      </c>
      <c r="N168" t="s">
        <v>96</v>
      </c>
      <c r="O168" t="s">
        <v>91</v>
      </c>
      <c r="P168" t="s">
        <v>92</v>
      </c>
      <c r="Q168" t="s">
        <v>93</v>
      </c>
      <c r="R168">
        <v>99999</v>
      </c>
      <c r="S168" t="s">
        <v>30</v>
      </c>
      <c r="T168" t="s">
        <v>48</v>
      </c>
      <c r="U168" t="s">
        <v>123</v>
      </c>
      <c r="V168" t="s">
        <v>124</v>
      </c>
      <c r="W168">
        <v>18.399999999999999</v>
      </c>
      <c r="X168">
        <v>47</v>
      </c>
      <c r="Y168" s="4">
        <v>864.8</v>
      </c>
      <c r="Z168" s="3">
        <v>90.804000000000002</v>
      </c>
    </row>
    <row r="169" spans="1:26" x14ac:dyDescent="0.4">
      <c r="A169">
        <v>1191</v>
      </c>
      <c r="B169" s="2">
        <v>41829</v>
      </c>
      <c r="C169">
        <v>9</v>
      </c>
      <c r="D169" t="s">
        <v>125</v>
      </c>
      <c r="E169" t="s">
        <v>126</v>
      </c>
      <c r="F169" t="s">
        <v>127</v>
      </c>
      <c r="G169" t="s">
        <v>128</v>
      </c>
      <c r="H169">
        <v>99999</v>
      </c>
      <c r="I169" t="s">
        <v>30</v>
      </c>
      <c r="J169" t="s">
        <v>129</v>
      </c>
      <c r="K169" t="s">
        <v>32</v>
      </c>
      <c r="L169" s="2">
        <v>41831</v>
      </c>
      <c r="M169" t="s">
        <v>46</v>
      </c>
      <c r="N169" t="s">
        <v>130</v>
      </c>
      <c r="O169" t="s">
        <v>126</v>
      </c>
      <c r="P169" t="s">
        <v>127</v>
      </c>
      <c r="Q169" t="s">
        <v>128</v>
      </c>
      <c r="R169">
        <v>99999</v>
      </c>
      <c r="S169" t="s">
        <v>30</v>
      </c>
      <c r="T169" t="s">
        <v>35</v>
      </c>
      <c r="U169" t="s">
        <v>131</v>
      </c>
      <c r="V169" t="s">
        <v>132</v>
      </c>
      <c r="W169">
        <v>19.5</v>
      </c>
      <c r="X169">
        <v>61</v>
      </c>
      <c r="Y169" s="4">
        <v>1189.5</v>
      </c>
      <c r="Z169" s="3">
        <v>123.70800000000001</v>
      </c>
    </row>
    <row r="170" spans="1:26" x14ac:dyDescent="0.4">
      <c r="A170">
        <v>1192</v>
      </c>
      <c r="B170" s="2">
        <v>41829</v>
      </c>
      <c r="C170">
        <v>9</v>
      </c>
      <c r="D170" t="s">
        <v>125</v>
      </c>
      <c r="E170" t="s">
        <v>126</v>
      </c>
      <c r="F170" t="s">
        <v>127</v>
      </c>
      <c r="G170" t="s">
        <v>128</v>
      </c>
      <c r="H170">
        <v>99999</v>
      </c>
      <c r="I170" t="s">
        <v>30</v>
      </c>
      <c r="J170" t="s">
        <v>129</v>
      </c>
      <c r="K170" t="s">
        <v>32</v>
      </c>
      <c r="L170" s="2">
        <v>41831</v>
      </c>
      <c r="M170" t="s">
        <v>46</v>
      </c>
      <c r="N170" t="s">
        <v>130</v>
      </c>
      <c r="O170" t="s">
        <v>126</v>
      </c>
      <c r="P170" t="s">
        <v>127</v>
      </c>
      <c r="Q170" t="s">
        <v>128</v>
      </c>
      <c r="R170">
        <v>99999</v>
      </c>
      <c r="S170" t="s">
        <v>30</v>
      </c>
      <c r="T170" t="s">
        <v>35</v>
      </c>
      <c r="U170" t="s">
        <v>133</v>
      </c>
      <c r="V170" t="s">
        <v>134</v>
      </c>
      <c r="W170">
        <v>34.799999999999997</v>
      </c>
      <c r="X170">
        <v>27</v>
      </c>
      <c r="Y170" s="4">
        <v>939.59999999999991</v>
      </c>
      <c r="Z170" s="3">
        <v>95.839199999999991</v>
      </c>
    </row>
    <row r="171" spans="1:26" x14ac:dyDescent="0.4">
      <c r="A171">
        <v>1193</v>
      </c>
      <c r="B171" s="2">
        <v>41826</v>
      </c>
      <c r="C171">
        <v>6</v>
      </c>
      <c r="D171" t="s">
        <v>82</v>
      </c>
      <c r="E171" t="s">
        <v>83</v>
      </c>
      <c r="F171" t="s">
        <v>84</v>
      </c>
      <c r="G171" t="s">
        <v>85</v>
      </c>
      <c r="H171">
        <v>99999</v>
      </c>
      <c r="I171" t="s">
        <v>30</v>
      </c>
      <c r="J171" t="s">
        <v>86</v>
      </c>
      <c r="K171" t="s">
        <v>61</v>
      </c>
      <c r="L171" s="2">
        <v>41828</v>
      </c>
      <c r="M171" t="s">
        <v>33</v>
      </c>
      <c r="N171" t="s">
        <v>87</v>
      </c>
      <c r="O171" t="s">
        <v>83</v>
      </c>
      <c r="P171" t="s">
        <v>84</v>
      </c>
      <c r="Q171" t="s">
        <v>85</v>
      </c>
      <c r="R171">
        <v>99999</v>
      </c>
      <c r="S171" t="s">
        <v>30</v>
      </c>
      <c r="T171" t="s">
        <v>48</v>
      </c>
      <c r="U171" t="s">
        <v>36</v>
      </c>
      <c r="V171" t="s">
        <v>37</v>
      </c>
      <c r="W171">
        <v>14</v>
      </c>
      <c r="X171">
        <v>84</v>
      </c>
      <c r="Y171" s="4">
        <v>1176</v>
      </c>
      <c r="Z171" s="3">
        <v>118.77600000000001</v>
      </c>
    </row>
    <row r="172" spans="1:26" x14ac:dyDescent="0.4">
      <c r="A172">
        <v>1194</v>
      </c>
      <c r="B172" s="2">
        <v>41828</v>
      </c>
      <c r="C172">
        <v>8</v>
      </c>
      <c r="D172" t="s">
        <v>56</v>
      </c>
      <c r="E172" t="s">
        <v>57</v>
      </c>
      <c r="F172" t="s">
        <v>58</v>
      </c>
      <c r="G172" t="s">
        <v>59</v>
      </c>
      <c r="H172">
        <v>99999</v>
      </c>
      <c r="I172" t="s">
        <v>30</v>
      </c>
      <c r="J172" t="s">
        <v>60</v>
      </c>
      <c r="K172" t="s">
        <v>61</v>
      </c>
      <c r="L172" s="2">
        <v>41830</v>
      </c>
      <c r="M172" t="s">
        <v>33</v>
      </c>
      <c r="N172" t="s">
        <v>63</v>
      </c>
      <c r="O172" t="s">
        <v>57</v>
      </c>
      <c r="P172" t="s">
        <v>58</v>
      </c>
      <c r="Q172" t="s">
        <v>59</v>
      </c>
      <c r="R172">
        <v>99999</v>
      </c>
      <c r="S172" t="s">
        <v>30</v>
      </c>
      <c r="T172" t="s">
        <v>35</v>
      </c>
      <c r="U172" t="s">
        <v>88</v>
      </c>
      <c r="V172" t="s">
        <v>89</v>
      </c>
      <c r="W172">
        <v>40</v>
      </c>
      <c r="X172">
        <v>91</v>
      </c>
      <c r="Y172" s="4">
        <v>3640</v>
      </c>
      <c r="Z172" s="3">
        <v>360.36</v>
      </c>
    </row>
    <row r="173" spans="1:26" x14ac:dyDescent="0.4">
      <c r="A173">
        <v>1195</v>
      </c>
      <c r="B173" s="2">
        <v>41828</v>
      </c>
      <c r="C173">
        <v>8</v>
      </c>
      <c r="D173" t="s">
        <v>56</v>
      </c>
      <c r="E173" t="s">
        <v>57</v>
      </c>
      <c r="F173" t="s">
        <v>58</v>
      </c>
      <c r="G173" t="s">
        <v>59</v>
      </c>
      <c r="H173">
        <v>99999</v>
      </c>
      <c r="I173" t="s">
        <v>30</v>
      </c>
      <c r="J173" t="s">
        <v>60</v>
      </c>
      <c r="K173" t="s">
        <v>61</v>
      </c>
      <c r="L173" s="2">
        <v>41830</v>
      </c>
      <c r="M173" t="s">
        <v>33</v>
      </c>
      <c r="N173" t="s">
        <v>63</v>
      </c>
      <c r="O173" t="s">
        <v>57</v>
      </c>
      <c r="P173" t="s">
        <v>58</v>
      </c>
      <c r="Q173" t="s">
        <v>59</v>
      </c>
      <c r="R173">
        <v>99999</v>
      </c>
      <c r="S173" t="s">
        <v>30</v>
      </c>
      <c r="T173" t="s">
        <v>35</v>
      </c>
      <c r="U173" t="s">
        <v>64</v>
      </c>
      <c r="V173" t="s">
        <v>65</v>
      </c>
      <c r="W173">
        <v>9.1999999999999993</v>
      </c>
      <c r="X173">
        <v>36</v>
      </c>
      <c r="Y173" s="4">
        <v>331.2</v>
      </c>
      <c r="Z173" s="3">
        <v>34.444800000000001</v>
      </c>
    </row>
    <row r="174" spans="1:26" x14ac:dyDescent="0.4">
      <c r="A174">
        <v>1196</v>
      </c>
      <c r="B174" s="2">
        <v>41845</v>
      </c>
      <c r="C174">
        <v>25</v>
      </c>
      <c r="D174" t="s">
        <v>137</v>
      </c>
      <c r="E174" t="s">
        <v>138</v>
      </c>
      <c r="F174" t="s">
        <v>99</v>
      </c>
      <c r="G174" t="s">
        <v>100</v>
      </c>
      <c r="H174">
        <v>99999</v>
      </c>
      <c r="I174" t="s">
        <v>30</v>
      </c>
      <c r="J174" t="s">
        <v>101</v>
      </c>
      <c r="K174" t="s">
        <v>45</v>
      </c>
      <c r="L174">
        <v>41847</v>
      </c>
      <c r="M174" t="s">
        <v>46</v>
      </c>
      <c r="N174" t="s">
        <v>139</v>
      </c>
      <c r="O174" t="s">
        <v>138</v>
      </c>
      <c r="P174" t="s">
        <v>99</v>
      </c>
      <c r="Q174" t="s">
        <v>100</v>
      </c>
      <c r="R174">
        <v>99999</v>
      </c>
      <c r="S174" t="s">
        <v>30</v>
      </c>
      <c r="T174" t="s">
        <v>79</v>
      </c>
      <c r="U174" t="s">
        <v>146</v>
      </c>
      <c r="V174" t="s">
        <v>65</v>
      </c>
      <c r="W174">
        <v>10</v>
      </c>
      <c r="X174">
        <v>34</v>
      </c>
      <c r="Y174" s="4">
        <v>340</v>
      </c>
      <c r="Z174" s="3">
        <v>34.340000000000003</v>
      </c>
    </row>
    <row r="175" spans="1:26" x14ac:dyDescent="0.4">
      <c r="A175">
        <v>1197</v>
      </c>
      <c r="B175" s="2">
        <v>41846</v>
      </c>
      <c r="C175">
        <v>26</v>
      </c>
      <c r="D175" t="s">
        <v>140</v>
      </c>
      <c r="E175" t="s">
        <v>141</v>
      </c>
      <c r="F175" t="s">
        <v>115</v>
      </c>
      <c r="G175" t="s">
        <v>116</v>
      </c>
      <c r="H175">
        <v>99999</v>
      </c>
      <c r="I175" t="s">
        <v>30</v>
      </c>
      <c r="J175" t="s">
        <v>94</v>
      </c>
      <c r="K175" t="s">
        <v>95</v>
      </c>
      <c r="L175">
        <v>41848</v>
      </c>
      <c r="M175" t="s">
        <v>62</v>
      </c>
      <c r="N175" t="s">
        <v>142</v>
      </c>
      <c r="O175" t="s">
        <v>141</v>
      </c>
      <c r="P175" t="s">
        <v>115</v>
      </c>
      <c r="Q175" t="s">
        <v>116</v>
      </c>
      <c r="R175">
        <v>99999</v>
      </c>
      <c r="S175" t="s">
        <v>30</v>
      </c>
      <c r="T175" t="s">
        <v>48</v>
      </c>
      <c r="U175" t="s">
        <v>147</v>
      </c>
      <c r="V175" t="s">
        <v>148</v>
      </c>
      <c r="W175">
        <v>21.35</v>
      </c>
      <c r="X175">
        <v>81</v>
      </c>
      <c r="Y175" s="4">
        <v>1729.3500000000001</v>
      </c>
      <c r="Z175" s="3">
        <v>178.12305000000003</v>
      </c>
    </row>
    <row r="176" spans="1:26" x14ac:dyDescent="0.4">
      <c r="A176">
        <v>1198</v>
      </c>
      <c r="B176" s="2">
        <v>41846</v>
      </c>
      <c r="C176">
        <v>26</v>
      </c>
      <c r="D176" t="s">
        <v>140</v>
      </c>
      <c r="E176" t="s">
        <v>141</v>
      </c>
      <c r="F176" t="s">
        <v>115</v>
      </c>
      <c r="G176" t="s">
        <v>116</v>
      </c>
      <c r="H176">
        <v>99999</v>
      </c>
      <c r="I176" t="s">
        <v>30</v>
      </c>
      <c r="J176" t="s">
        <v>94</v>
      </c>
      <c r="K176" t="s">
        <v>95</v>
      </c>
      <c r="L176">
        <v>41848</v>
      </c>
      <c r="M176" t="s">
        <v>62</v>
      </c>
      <c r="N176" t="s">
        <v>142</v>
      </c>
      <c r="O176" t="s">
        <v>141</v>
      </c>
      <c r="P176" t="s">
        <v>115</v>
      </c>
      <c r="Q176" t="s">
        <v>116</v>
      </c>
      <c r="R176">
        <v>99999</v>
      </c>
      <c r="S176" t="s">
        <v>30</v>
      </c>
      <c r="T176" t="s">
        <v>48</v>
      </c>
      <c r="U176" t="s">
        <v>80</v>
      </c>
      <c r="V176" t="s">
        <v>81</v>
      </c>
      <c r="W176">
        <v>9.65</v>
      </c>
      <c r="X176">
        <v>25</v>
      </c>
      <c r="Y176" s="4">
        <v>241.25</v>
      </c>
      <c r="Z176" s="3">
        <v>23.401250000000001</v>
      </c>
    </row>
    <row r="177" spans="1:26" x14ac:dyDescent="0.4">
      <c r="A177">
        <v>1199</v>
      </c>
      <c r="B177" s="2">
        <v>41846</v>
      </c>
      <c r="C177">
        <v>26</v>
      </c>
      <c r="D177" t="s">
        <v>140</v>
      </c>
      <c r="E177" t="s">
        <v>141</v>
      </c>
      <c r="F177" t="s">
        <v>115</v>
      </c>
      <c r="G177" t="s">
        <v>116</v>
      </c>
      <c r="H177">
        <v>99999</v>
      </c>
      <c r="I177" t="s">
        <v>30</v>
      </c>
      <c r="J177" t="s">
        <v>94</v>
      </c>
      <c r="K177" t="s">
        <v>95</v>
      </c>
      <c r="L177">
        <v>41848</v>
      </c>
      <c r="M177" t="s">
        <v>62</v>
      </c>
      <c r="N177" t="s">
        <v>142</v>
      </c>
      <c r="O177" t="s">
        <v>141</v>
      </c>
      <c r="P177" t="s">
        <v>115</v>
      </c>
      <c r="Q177" t="s">
        <v>116</v>
      </c>
      <c r="R177">
        <v>99999</v>
      </c>
      <c r="S177" t="s">
        <v>30</v>
      </c>
      <c r="T177" t="s">
        <v>48</v>
      </c>
      <c r="U177" t="s">
        <v>123</v>
      </c>
      <c r="V177" t="s">
        <v>124</v>
      </c>
      <c r="W177">
        <v>18.399999999999999</v>
      </c>
      <c r="X177">
        <v>12</v>
      </c>
      <c r="Y177" s="4">
        <v>220.79999999999998</v>
      </c>
      <c r="Z177" s="3">
        <v>22.08</v>
      </c>
    </row>
    <row r="178" spans="1:26" x14ac:dyDescent="0.4">
      <c r="A178">
        <v>1200</v>
      </c>
      <c r="B178" s="2">
        <v>41849</v>
      </c>
      <c r="C178">
        <v>29</v>
      </c>
      <c r="D178" t="s">
        <v>66</v>
      </c>
      <c r="E178" t="s">
        <v>67</v>
      </c>
      <c r="F178" t="s">
        <v>68</v>
      </c>
      <c r="G178" t="s">
        <v>69</v>
      </c>
      <c r="H178">
        <v>99999</v>
      </c>
      <c r="I178" t="s">
        <v>30</v>
      </c>
      <c r="J178" t="s">
        <v>70</v>
      </c>
      <c r="K178" t="s">
        <v>32</v>
      </c>
      <c r="L178" s="2">
        <v>41851</v>
      </c>
      <c r="M178" t="s">
        <v>33</v>
      </c>
      <c r="N178" t="s">
        <v>71</v>
      </c>
      <c r="O178" t="s">
        <v>67</v>
      </c>
      <c r="P178" t="s">
        <v>68</v>
      </c>
      <c r="Q178" t="s">
        <v>69</v>
      </c>
      <c r="R178">
        <v>99999</v>
      </c>
      <c r="S178" t="s">
        <v>30</v>
      </c>
      <c r="T178" t="s">
        <v>35</v>
      </c>
      <c r="U178" t="s">
        <v>36</v>
      </c>
      <c r="V178" t="s">
        <v>37</v>
      </c>
      <c r="W178">
        <v>14</v>
      </c>
      <c r="X178">
        <v>23</v>
      </c>
      <c r="Y178" s="4">
        <v>322</v>
      </c>
      <c r="Z178" s="3">
        <v>30.912000000000003</v>
      </c>
    </row>
    <row r="179" spans="1:26" x14ac:dyDescent="0.4">
      <c r="A179">
        <v>1201</v>
      </c>
      <c r="B179" s="2">
        <v>41826</v>
      </c>
      <c r="C179">
        <v>6</v>
      </c>
      <c r="D179" t="s">
        <v>82</v>
      </c>
      <c r="E179" t="s">
        <v>83</v>
      </c>
      <c r="F179" t="s">
        <v>84</v>
      </c>
      <c r="G179" t="s">
        <v>85</v>
      </c>
      <c r="H179">
        <v>99999</v>
      </c>
      <c r="I179" t="s">
        <v>30</v>
      </c>
      <c r="J179" t="s">
        <v>86</v>
      </c>
      <c r="K179" t="s">
        <v>61</v>
      </c>
      <c r="L179" s="2">
        <v>41828</v>
      </c>
      <c r="M179" t="s">
        <v>62</v>
      </c>
      <c r="N179" t="s">
        <v>87</v>
      </c>
      <c r="O179" t="s">
        <v>83</v>
      </c>
      <c r="P179" t="s">
        <v>84</v>
      </c>
      <c r="Q179" t="s">
        <v>85</v>
      </c>
      <c r="R179">
        <v>99999</v>
      </c>
      <c r="S179" t="s">
        <v>30</v>
      </c>
      <c r="T179" t="s">
        <v>35</v>
      </c>
      <c r="U179" t="s">
        <v>72</v>
      </c>
      <c r="V179" t="s">
        <v>73</v>
      </c>
      <c r="W179">
        <v>12.75</v>
      </c>
      <c r="X179">
        <v>76</v>
      </c>
      <c r="Y179" s="4">
        <v>969</v>
      </c>
      <c r="Z179" s="3">
        <v>97.869</v>
      </c>
    </row>
    <row r="180" spans="1:26" x14ac:dyDescent="0.4">
      <c r="A180">
        <v>1203</v>
      </c>
      <c r="B180" s="2">
        <v>41824</v>
      </c>
      <c r="C180">
        <v>4</v>
      </c>
      <c r="D180" t="s">
        <v>40</v>
      </c>
      <c r="E180" t="s">
        <v>41</v>
      </c>
      <c r="F180" t="s">
        <v>42</v>
      </c>
      <c r="G180" t="s">
        <v>43</v>
      </c>
      <c r="H180">
        <v>99999</v>
      </c>
      <c r="I180" t="s">
        <v>30</v>
      </c>
      <c r="J180" t="s">
        <v>44</v>
      </c>
      <c r="K180" t="s">
        <v>45</v>
      </c>
      <c r="L180" s="2">
        <v>41826</v>
      </c>
      <c r="M180" t="s">
        <v>46</v>
      </c>
      <c r="N180" t="s">
        <v>47</v>
      </c>
      <c r="O180" t="s">
        <v>41</v>
      </c>
      <c r="P180" t="s">
        <v>42</v>
      </c>
      <c r="Q180" t="s">
        <v>43</v>
      </c>
      <c r="R180">
        <v>99999</v>
      </c>
      <c r="S180" t="s">
        <v>30</v>
      </c>
      <c r="T180" t="s">
        <v>48</v>
      </c>
      <c r="U180" t="s">
        <v>149</v>
      </c>
      <c r="V180" t="s">
        <v>110</v>
      </c>
      <c r="W180">
        <v>81</v>
      </c>
      <c r="X180">
        <v>55</v>
      </c>
      <c r="Y180" s="4">
        <v>4455</v>
      </c>
      <c r="Z180" s="3">
        <v>445.5</v>
      </c>
    </row>
    <row r="181" spans="1:26" x14ac:dyDescent="0.4">
      <c r="A181">
        <v>1204</v>
      </c>
      <c r="B181" s="2">
        <v>41824</v>
      </c>
      <c r="C181">
        <v>4</v>
      </c>
      <c r="D181" t="s">
        <v>40</v>
      </c>
      <c r="E181" t="s">
        <v>41</v>
      </c>
      <c r="F181" t="s">
        <v>42</v>
      </c>
      <c r="G181" t="s">
        <v>43</v>
      </c>
      <c r="H181">
        <v>99999</v>
      </c>
      <c r="I181" t="s">
        <v>30</v>
      </c>
      <c r="J181" t="s">
        <v>44</v>
      </c>
      <c r="K181" t="s">
        <v>45</v>
      </c>
      <c r="L181" s="2">
        <v>41826</v>
      </c>
      <c r="M181" t="s">
        <v>46</v>
      </c>
      <c r="N181" t="s">
        <v>47</v>
      </c>
      <c r="O181" t="s">
        <v>41</v>
      </c>
      <c r="P181" t="s">
        <v>42</v>
      </c>
      <c r="Q181" t="s">
        <v>43</v>
      </c>
      <c r="R181">
        <v>99999</v>
      </c>
      <c r="S181" t="s">
        <v>30</v>
      </c>
      <c r="T181" t="s">
        <v>48</v>
      </c>
      <c r="U181" t="s">
        <v>150</v>
      </c>
      <c r="V181" t="s">
        <v>151</v>
      </c>
      <c r="W181">
        <v>7</v>
      </c>
      <c r="X181">
        <v>19</v>
      </c>
      <c r="Y181" s="4">
        <v>133</v>
      </c>
      <c r="Z181" s="3">
        <v>12.901</v>
      </c>
    </row>
    <row r="182" spans="1:26" x14ac:dyDescent="0.4">
      <c r="A182">
        <v>1206</v>
      </c>
      <c r="B182" s="2">
        <v>41828</v>
      </c>
      <c r="C182">
        <v>8</v>
      </c>
      <c r="D182" t="s">
        <v>56</v>
      </c>
      <c r="E182" t="s">
        <v>57</v>
      </c>
      <c r="F182" t="s">
        <v>58</v>
      </c>
      <c r="G182" t="s">
        <v>59</v>
      </c>
      <c r="H182">
        <v>99999</v>
      </c>
      <c r="I182" t="s">
        <v>30</v>
      </c>
      <c r="J182" t="s">
        <v>60</v>
      </c>
      <c r="K182" t="s">
        <v>61</v>
      </c>
      <c r="L182" s="2">
        <v>41830</v>
      </c>
      <c r="M182" t="s">
        <v>62</v>
      </c>
      <c r="N182" t="s">
        <v>63</v>
      </c>
      <c r="O182" t="s">
        <v>57</v>
      </c>
      <c r="P182" t="s">
        <v>58</v>
      </c>
      <c r="Q182" t="s">
        <v>59</v>
      </c>
      <c r="R182">
        <v>99999</v>
      </c>
      <c r="S182" t="s">
        <v>30</v>
      </c>
      <c r="T182" t="s">
        <v>48</v>
      </c>
      <c r="U182" t="s">
        <v>133</v>
      </c>
      <c r="V182" t="s">
        <v>134</v>
      </c>
      <c r="W182">
        <v>34.799999999999997</v>
      </c>
      <c r="X182">
        <v>27</v>
      </c>
      <c r="Y182" s="4">
        <v>939.59999999999991</v>
      </c>
      <c r="Z182" s="3">
        <v>89.261999999999986</v>
      </c>
    </row>
    <row r="183" spans="1:26" x14ac:dyDescent="0.4">
      <c r="A183">
        <v>1209</v>
      </c>
      <c r="B183" s="2">
        <v>41823</v>
      </c>
      <c r="C183">
        <v>3</v>
      </c>
      <c r="D183" t="s">
        <v>74</v>
      </c>
      <c r="E183" t="s">
        <v>75</v>
      </c>
      <c r="F183" t="s">
        <v>76</v>
      </c>
      <c r="G183" t="s">
        <v>77</v>
      </c>
      <c r="H183">
        <v>99999</v>
      </c>
      <c r="I183" t="s">
        <v>30</v>
      </c>
      <c r="J183" t="s">
        <v>31</v>
      </c>
      <c r="K183" t="s">
        <v>32</v>
      </c>
      <c r="L183" s="2">
        <v>41825</v>
      </c>
      <c r="M183" t="s">
        <v>33</v>
      </c>
      <c r="N183" t="s">
        <v>78</v>
      </c>
      <c r="O183" t="s">
        <v>75</v>
      </c>
      <c r="P183" t="s">
        <v>76</v>
      </c>
      <c r="Q183" t="s">
        <v>77</v>
      </c>
      <c r="R183">
        <v>99999</v>
      </c>
      <c r="S183" t="s">
        <v>30</v>
      </c>
      <c r="T183" t="s">
        <v>79</v>
      </c>
      <c r="U183" t="s">
        <v>135</v>
      </c>
      <c r="V183" t="s">
        <v>112</v>
      </c>
      <c r="W183">
        <v>10</v>
      </c>
      <c r="X183">
        <v>99</v>
      </c>
      <c r="Y183" s="4">
        <v>990</v>
      </c>
      <c r="Z183" s="3">
        <v>95.039999999999992</v>
      </c>
    </row>
    <row r="184" spans="1:26" x14ac:dyDescent="0.4">
      <c r="A184">
        <v>1210</v>
      </c>
      <c r="B184" s="2">
        <v>41823</v>
      </c>
      <c r="C184">
        <v>3</v>
      </c>
      <c r="D184" t="s">
        <v>74</v>
      </c>
      <c r="E184" t="s">
        <v>75</v>
      </c>
      <c r="F184" t="s">
        <v>76</v>
      </c>
      <c r="G184" t="s">
        <v>77</v>
      </c>
      <c r="H184">
        <v>99999</v>
      </c>
      <c r="I184" t="s">
        <v>30</v>
      </c>
      <c r="J184" t="s">
        <v>31</v>
      </c>
      <c r="K184" t="s">
        <v>32</v>
      </c>
      <c r="L184" s="2">
        <v>41825</v>
      </c>
      <c r="M184" t="s">
        <v>33</v>
      </c>
      <c r="N184" t="s">
        <v>78</v>
      </c>
      <c r="O184" t="s">
        <v>75</v>
      </c>
      <c r="P184" t="s">
        <v>76</v>
      </c>
      <c r="Q184" t="s">
        <v>77</v>
      </c>
      <c r="R184">
        <v>99999</v>
      </c>
      <c r="S184" t="s">
        <v>30</v>
      </c>
      <c r="T184" t="s">
        <v>79</v>
      </c>
      <c r="U184" t="s">
        <v>88</v>
      </c>
      <c r="V184" t="s">
        <v>89</v>
      </c>
      <c r="W184">
        <v>40</v>
      </c>
      <c r="X184">
        <v>10</v>
      </c>
      <c r="Y184" s="4">
        <v>400</v>
      </c>
      <c r="Z184" s="3">
        <v>40</v>
      </c>
    </row>
    <row r="185" spans="1:26" x14ac:dyDescent="0.4">
      <c r="A185">
        <v>1214</v>
      </c>
      <c r="B185" s="2">
        <v>41830</v>
      </c>
      <c r="C185">
        <v>10</v>
      </c>
      <c r="D185" t="s">
        <v>97</v>
      </c>
      <c r="E185" t="s">
        <v>98</v>
      </c>
      <c r="F185" t="s">
        <v>99</v>
      </c>
      <c r="G185" t="s">
        <v>100</v>
      </c>
      <c r="H185">
        <v>99999</v>
      </c>
      <c r="I185" t="s">
        <v>30</v>
      </c>
      <c r="J185" t="s">
        <v>101</v>
      </c>
      <c r="K185" t="s">
        <v>45</v>
      </c>
      <c r="L185" s="2">
        <v>41832</v>
      </c>
      <c r="M185" t="s">
        <v>33</v>
      </c>
      <c r="N185" t="s">
        <v>102</v>
      </c>
      <c r="O185" t="s">
        <v>98</v>
      </c>
      <c r="P185" t="s">
        <v>99</v>
      </c>
      <c r="Q185" t="s">
        <v>100</v>
      </c>
      <c r="R185">
        <v>99999</v>
      </c>
      <c r="S185" t="s">
        <v>30</v>
      </c>
      <c r="T185" t="s">
        <v>48</v>
      </c>
      <c r="U185" t="s">
        <v>136</v>
      </c>
      <c r="V185" t="s">
        <v>39</v>
      </c>
      <c r="W185">
        <v>10</v>
      </c>
      <c r="X185">
        <v>80</v>
      </c>
      <c r="Y185" s="4">
        <v>800</v>
      </c>
      <c r="Z185" s="3">
        <v>77.599999999999994</v>
      </c>
    </row>
    <row r="186" spans="1:26" hidden="1" x14ac:dyDescent="0.4">
      <c r="A186">
        <v>1216</v>
      </c>
      <c r="B186" s="2">
        <v>41830</v>
      </c>
      <c r="C186">
        <v>10</v>
      </c>
      <c r="D186" t="s">
        <v>97</v>
      </c>
      <c r="E186" t="s">
        <v>98</v>
      </c>
      <c r="F186" t="s">
        <v>99</v>
      </c>
      <c r="G186" t="s">
        <v>100</v>
      </c>
      <c r="H186">
        <v>99999</v>
      </c>
      <c r="I186" t="s">
        <v>30</v>
      </c>
      <c r="J186" t="s">
        <v>101</v>
      </c>
      <c r="K186" t="s">
        <v>45</v>
      </c>
      <c r="L186" s="2"/>
      <c r="M186" t="s">
        <v>46</v>
      </c>
      <c r="N186" t="s">
        <v>102</v>
      </c>
      <c r="O186" t="s">
        <v>98</v>
      </c>
      <c r="P186" t="s">
        <v>99</v>
      </c>
      <c r="Q186" t="s">
        <v>100</v>
      </c>
      <c r="R186">
        <v>99999</v>
      </c>
      <c r="S186" t="s">
        <v>30</v>
      </c>
      <c r="U186" t="s">
        <v>38</v>
      </c>
      <c r="V186" t="s">
        <v>39</v>
      </c>
      <c r="W186">
        <v>3.5</v>
      </c>
      <c r="X186">
        <v>27</v>
      </c>
      <c r="Y186" s="4">
        <v>94.5</v>
      </c>
      <c r="Z186" s="3">
        <v>9.072000000000001</v>
      </c>
    </row>
    <row r="187" spans="1:26" hidden="1" x14ac:dyDescent="0.4">
      <c r="A187">
        <v>1217</v>
      </c>
      <c r="B187" s="2">
        <v>41831</v>
      </c>
      <c r="C187">
        <v>11</v>
      </c>
      <c r="D187" t="s">
        <v>113</v>
      </c>
      <c r="E187" t="s">
        <v>114</v>
      </c>
      <c r="F187" t="s">
        <v>115</v>
      </c>
      <c r="G187" t="s">
        <v>116</v>
      </c>
      <c r="H187">
        <v>99999</v>
      </c>
      <c r="I187" t="s">
        <v>30</v>
      </c>
      <c r="J187" t="s">
        <v>94</v>
      </c>
      <c r="K187" t="s">
        <v>95</v>
      </c>
      <c r="M187" t="s">
        <v>62</v>
      </c>
      <c r="N187" t="s">
        <v>117</v>
      </c>
      <c r="O187" t="s">
        <v>114</v>
      </c>
      <c r="P187" t="s">
        <v>115</v>
      </c>
      <c r="Q187" t="s">
        <v>116</v>
      </c>
      <c r="R187">
        <v>99999</v>
      </c>
      <c r="S187" t="s">
        <v>30</v>
      </c>
      <c r="U187" t="s">
        <v>88</v>
      </c>
      <c r="V187" t="s">
        <v>89</v>
      </c>
      <c r="W187">
        <v>40</v>
      </c>
      <c r="X187">
        <v>97</v>
      </c>
      <c r="Y187" s="4">
        <v>3880</v>
      </c>
      <c r="Z187" s="3">
        <v>380.24</v>
      </c>
    </row>
    <row r="188" spans="1:26" hidden="1" x14ac:dyDescent="0.4">
      <c r="A188">
        <v>1218</v>
      </c>
      <c r="B188" s="2">
        <v>41821</v>
      </c>
      <c r="C188">
        <v>1</v>
      </c>
      <c r="D188" t="s">
        <v>118</v>
      </c>
      <c r="E188" t="s">
        <v>119</v>
      </c>
      <c r="F188" t="s">
        <v>120</v>
      </c>
      <c r="G188" t="s">
        <v>121</v>
      </c>
      <c r="H188">
        <v>99999</v>
      </c>
      <c r="I188" t="s">
        <v>30</v>
      </c>
      <c r="J188" t="s">
        <v>60</v>
      </c>
      <c r="K188" t="s">
        <v>61</v>
      </c>
      <c r="M188" t="s">
        <v>62</v>
      </c>
      <c r="N188" t="s">
        <v>122</v>
      </c>
      <c r="O188" t="s">
        <v>119</v>
      </c>
      <c r="P188" t="s">
        <v>120</v>
      </c>
      <c r="Q188" t="s">
        <v>121</v>
      </c>
      <c r="R188">
        <v>99999</v>
      </c>
      <c r="S188" t="s">
        <v>30</v>
      </c>
      <c r="U188" t="s">
        <v>123</v>
      </c>
      <c r="V188" t="s">
        <v>124</v>
      </c>
      <c r="W188">
        <v>18.399999999999999</v>
      </c>
      <c r="X188">
        <v>42</v>
      </c>
      <c r="Y188" s="4">
        <v>772.8</v>
      </c>
      <c r="Z188" s="3">
        <v>80.371200000000002</v>
      </c>
    </row>
    <row r="189" spans="1:26" x14ac:dyDescent="0.4">
      <c r="A189">
        <v>1219</v>
      </c>
      <c r="B189" s="2">
        <v>41848</v>
      </c>
      <c r="C189">
        <v>28</v>
      </c>
      <c r="D189" t="s">
        <v>90</v>
      </c>
      <c r="E189" t="s">
        <v>91</v>
      </c>
      <c r="F189" t="s">
        <v>92</v>
      </c>
      <c r="G189" t="s">
        <v>93</v>
      </c>
      <c r="H189">
        <v>99999</v>
      </c>
      <c r="I189" t="s">
        <v>30</v>
      </c>
      <c r="J189" t="s">
        <v>94</v>
      </c>
      <c r="K189" t="s">
        <v>95</v>
      </c>
      <c r="L189">
        <v>41850</v>
      </c>
      <c r="M189" t="s">
        <v>62</v>
      </c>
      <c r="N189" t="s">
        <v>96</v>
      </c>
      <c r="O189" t="s">
        <v>91</v>
      </c>
      <c r="P189" t="s">
        <v>92</v>
      </c>
      <c r="Q189" t="s">
        <v>93</v>
      </c>
      <c r="R189">
        <v>99999</v>
      </c>
      <c r="S189" t="s">
        <v>30</v>
      </c>
      <c r="T189" t="s">
        <v>48</v>
      </c>
      <c r="U189" t="s">
        <v>55</v>
      </c>
      <c r="V189" t="s">
        <v>37</v>
      </c>
      <c r="W189" s="3">
        <v>46</v>
      </c>
      <c r="X189">
        <v>24</v>
      </c>
      <c r="Y189" s="4">
        <v>1104</v>
      </c>
      <c r="Z189" s="3">
        <v>105.98399999999999</v>
      </c>
    </row>
    <row r="190" spans="1:26" x14ac:dyDescent="0.4">
      <c r="A190">
        <v>1220</v>
      </c>
      <c r="B190" s="2">
        <v>41829</v>
      </c>
      <c r="C190">
        <v>9</v>
      </c>
      <c r="D190" t="s">
        <v>125</v>
      </c>
      <c r="E190" t="s">
        <v>126</v>
      </c>
      <c r="F190" t="s">
        <v>127</v>
      </c>
      <c r="G190" t="s">
        <v>128</v>
      </c>
      <c r="H190">
        <v>99999</v>
      </c>
      <c r="I190" t="s">
        <v>30</v>
      </c>
      <c r="J190" t="s">
        <v>129</v>
      </c>
      <c r="K190" t="s">
        <v>32</v>
      </c>
      <c r="L190" s="2">
        <v>41831</v>
      </c>
      <c r="M190" t="s">
        <v>46</v>
      </c>
      <c r="N190" t="s">
        <v>130</v>
      </c>
      <c r="O190" t="s">
        <v>126</v>
      </c>
      <c r="P190" t="s">
        <v>127</v>
      </c>
      <c r="Q190" t="s">
        <v>128</v>
      </c>
      <c r="R190">
        <v>99999</v>
      </c>
      <c r="S190" t="s">
        <v>30</v>
      </c>
      <c r="T190" t="s">
        <v>35</v>
      </c>
      <c r="U190" t="s">
        <v>80</v>
      </c>
      <c r="V190" t="s">
        <v>81</v>
      </c>
      <c r="W190" s="3">
        <v>9.65</v>
      </c>
      <c r="X190">
        <v>90</v>
      </c>
      <c r="Y190" s="4">
        <v>868.5</v>
      </c>
      <c r="Z190" s="3">
        <v>83.376000000000005</v>
      </c>
    </row>
    <row r="191" spans="1:26" x14ac:dyDescent="0.4">
      <c r="A191">
        <v>1221</v>
      </c>
      <c r="B191" s="2">
        <v>41826</v>
      </c>
      <c r="C191">
        <v>6</v>
      </c>
      <c r="D191" t="s">
        <v>82</v>
      </c>
      <c r="E191" t="s">
        <v>83</v>
      </c>
      <c r="F191" t="s">
        <v>84</v>
      </c>
      <c r="G191" t="s">
        <v>85</v>
      </c>
      <c r="H191">
        <v>99999</v>
      </c>
      <c r="I191" t="s">
        <v>30</v>
      </c>
      <c r="J191" t="s">
        <v>86</v>
      </c>
      <c r="K191" t="s">
        <v>61</v>
      </c>
      <c r="L191" s="2">
        <v>41828</v>
      </c>
      <c r="M191" t="s">
        <v>33</v>
      </c>
      <c r="N191" t="s">
        <v>87</v>
      </c>
      <c r="O191" t="s">
        <v>83</v>
      </c>
      <c r="P191" t="s">
        <v>84</v>
      </c>
      <c r="Q191" t="s">
        <v>85</v>
      </c>
      <c r="R191">
        <v>99999</v>
      </c>
      <c r="S191" t="s">
        <v>30</v>
      </c>
      <c r="T191" t="s">
        <v>48</v>
      </c>
      <c r="U191" t="s">
        <v>72</v>
      </c>
      <c r="V191" t="s">
        <v>73</v>
      </c>
      <c r="W191" s="3">
        <v>12.75</v>
      </c>
      <c r="X191">
        <v>28</v>
      </c>
      <c r="Y191" s="4">
        <v>357</v>
      </c>
      <c r="Z191" s="3">
        <v>35.700000000000003</v>
      </c>
    </row>
    <row r="192" spans="1:26" x14ac:dyDescent="0.4">
      <c r="A192">
        <v>1222</v>
      </c>
      <c r="B192" s="2">
        <v>41879</v>
      </c>
      <c r="C192">
        <v>28</v>
      </c>
      <c r="D192" t="s">
        <v>90</v>
      </c>
      <c r="E192" t="s">
        <v>91</v>
      </c>
      <c r="F192" t="s">
        <v>92</v>
      </c>
      <c r="G192" t="s">
        <v>93</v>
      </c>
      <c r="H192">
        <v>99999</v>
      </c>
      <c r="I192" t="s">
        <v>30</v>
      </c>
      <c r="J192" t="s">
        <v>94</v>
      </c>
      <c r="K192" t="s">
        <v>95</v>
      </c>
      <c r="L192" s="2">
        <v>41881</v>
      </c>
      <c r="M192" t="s">
        <v>62</v>
      </c>
      <c r="N192" t="s">
        <v>96</v>
      </c>
      <c r="O192" t="s">
        <v>91</v>
      </c>
      <c r="P192" t="s">
        <v>92</v>
      </c>
      <c r="Q192" t="s">
        <v>93</v>
      </c>
      <c r="R192">
        <v>99999</v>
      </c>
      <c r="S192" t="s">
        <v>30</v>
      </c>
      <c r="T192" t="s">
        <v>35</v>
      </c>
      <c r="U192" t="s">
        <v>55</v>
      </c>
      <c r="V192" t="s">
        <v>37</v>
      </c>
      <c r="W192" s="3">
        <v>46</v>
      </c>
      <c r="X192">
        <v>28</v>
      </c>
      <c r="Y192" s="4">
        <v>1288</v>
      </c>
      <c r="Z192" s="3">
        <v>133.95200000000003</v>
      </c>
    </row>
    <row r="193" spans="1:26" x14ac:dyDescent="0.4">
      <c r="A193">
        <v>1223</v>
      </c>
      <c r="B193" s="2">
        <v>41859</v>
      </c>
      <c r="C193">
        <v>8</v>
      </c>
      <c r="D193" t="s">
        <v>56</v>
      </c>
      <c r="E193" t="s">
        <v>57</v>
      </c>
      <c r="F193" t="s">
        <v>58</v>
      </c>
      <c r="G193" t="s">
        <v>59</v>
      </c>
      <c r="H193">
        <v>99999</v>
      </c>
      <c r="I193" t="s">
        <v>30</v>
      </c>
      <c r="J193" t="s">
        <v>60</v>
      </c>
      <c r="K193" t="s">
        <v>61</v>
      </c>
      <c r="L193" s="2">
        <v>41861</v>
      </c>
      <c r="M193" t="s">
        <v>62</v>
      </c>
      <c r="N193" t="s">
        <v>63</v>
      </c>
      <c r="O193" t="s">
        <v>57</v>
      </c>
      <c r="P193" t="s">
        <v>58</v>
      </c>
      <c r="Q193" t="s">
        <v>59</v>
      </c>
      <c r="R193">
        <v>99999</v>
      </c>
      <c r="S193" t="s">
        <v>30</v>
      </c>
      <c r="T193" t="s">
        <v>35</v>
      </c>
      <c r="U193" t="s">
        <v>72</v>
      </c>
      <c r="V193" t="s">
        <v>73</v>
      </c>
      <c r="W193" s="3">
        <v>12.75</v>
      </c>
      <c r="X193">
        <v>57</v>
      </c>
      <c r="Y193" s="4">
        <v>726.75</v>
      </c>
      <c r="Z193" s="3">
        <v>69.768000000000001</v>
      </c>
    </row>
    <row r="194" spans="1:26" x14ac:dyDescent="0.4">
      <c r="A194">
        <v>1224</v>
      </c>
      <c r="B194" s="2">
        <v>41861</v>
      </c>
      <c r="C194">
        <v>10</v>
      </c>
      <c r="D194" t="s">
        <v>97</v>
      </c>
      <c r="E194" t="s">
        <v>98</v>
      </c>
      <c r="F194" t="s">
        <v>99</v>
      </c>
      <c r="G194" t="s">
        <v>100</v>
      </c>
      <c r="H194">
        <v>99999</v>
      </c>
      <c r="I194" t="s">
        <v>30</v>
      </c>
      <c r="J194" t="s">
        <v>101</v>
      </c>
      <c r="K194" t="s">
        <v>45</v>
      </c>
      <c r="L194" s="2">
        <v>41863</v>
      </c>
      <c r="M194" t="s">
        <v>33</v>
      </c>
      <c r="N194" t="s">
        <v>102</v>
      </c>
      <c r="O194" t="s">
        <v>98</v>
      </c>
      <c r="P194" t="s">
        <v>99</v>
      </c>
      <c r="Q194" t="s">
        <v>100</v>
      </c>
      <c r="R194">
        <v>99999</v>
      </c>
      <c r="S194" t="s">
        <v>30</v>
      </c>
      <c r="T194" t="s">
        <v>48</v>
      </c>
      <c r="U194" t="s">
        <v>103</v>
      </c>
      <c r="V194" t="s">
        <v>37</v>
      </c>
      <c r="W194" s="3">
        <v>2.99</v>
      </c>
      <c r="X194">
        <v>23</v>
      </c>
      <c r="Y194" s="4">
        <v>68.77000000000001</v>
      </c>
      <c r="Z194" s="3">
        <v>6.6706900000000013</v>
      </c>
    </row>
    <row r="195" spans="1:26" hidden="1" x14ac:dyDescent="0.4">
      <c r="A195">
        <v>1225</v>
      </c>
      <c r="B195" s="2">
        <v>41858</v>
      </c>
      <c r="C195">
        <v>7</v>
      </c>
      <c r="D195" t="s">
        <v>104</v>
      </c>
      <c r="E195" t="s">
        <v>105</v>
      </c>
      <c r="F195" t="s">
        <v>106</v>
      </c>
      <c r="G195" t="s">
        <v>107</v>
      </c>
      <c r="H195">
        <v>99999</v>
      </c>
      <c r="I195" t="s">
        <v>30</v>
      </c>
      <c r="J195" t="s">
        <v>60</v>
      </c>
      <c r="K195" t="s">
        <v>61</v>
      </c>
      <c r="L195" s="2"/>
      <c r="N195" t="s">
        <v>108</v>
      </c>
      <c r="O195" t="s">
        <v>105</v>
      </c>
      <c r="P195" t="s">
        <v>106</v>
      </c>
      <c r="Q195" t="s">
        <v>107</v>
      </c>
      <c r="R195">
        <v>99999</v>
      </c>
      <c r="S195" t="s">
        <v>30</v>
      </c>
      <c r="U195" t="s">
        <v>55</v>
      </c>
      <c r="V195" t="s">
        <v>37</v>
      </c>
      <c r="W195" s="3">
        <v>46</v>
      </c>
      <c r="X195">
        <v>86</v>
      </c>
      <c r="Y195" s="4">
        <v>3956</v>
      </c>
      <c r="Z195" s="3">
        <v>399.55600000000004</v>
      </c>
    </row>
    <row r="196" spans="1:26" hidden="1" x14ac:dyDescent="0.4">
      <c r="A196">
        <v>1226</v>
      </c>
      <c r="B196" s="2">
        <v>41861</v>
      </c>
      <c r="C196">
        <v>10</v>
      </c>
      <c r="D196" t="s">
        <v>97</v>
      </c>
      <c r="E196" t="s">
        <v>98</v>
      </c>
      <c r="F196" t="s">
        <v>99</v>
      </c>
      <c r="G196" t="s">
        <v>100</v>
      </c>
      <c r="H196">
        <v>99999</v>
      </c>
      <c r="I196" t="s">
        <v>30</v>
      </c>
      <c r="J196" t="s">
        <v>101</v>
      </c>
      <c r="K196" t="s">
        <v>45</v>
      </c>
      <c r="L196" s="2">
        <v>41863</v>
      </c>
      <c r="M196" t="s">
        <v>46</v>
      </c>
      <c r="N196" t="s">
        <v>102</v>
      </c>
      <c r="O196" t="s">
        <v>98</v>
      </c>
      <c r="P196" t="s">
        <v>99</v>
      </c>
      <c r="Q196" t="s">
        <v>100</v>
      </c>
      <c r="R196">
        <v>99999</v>
      </c>
      <c r="S196" t="s">
        <v>30</v>
      </c>
      <c r="U196" t="s">
        <v>109</v>
      </c>
      <c r="V196" t="s">
        <v>110</v>
      </c>
      <c r="W196" s="3">
        <v>25</v>
      </c>
      <c r="X196">
        <v>47</v>
      </c>
      <c r="Y196" s="4">
        <v>1175</v>
      </c>
      <c r="Z196" s="3">
        <v>116.325</v>
      </c>
    </row>
    <row r="197" spans="1:26" hidden="1" x14ac:dyDescent="0.4">
      <c r="A197">
        <v>1227</v>
      </c>
      <c r="B197" s="2">
        <v>41861</v>
      </c>
      <c r="C197">
        <v>10</v>
      </c>
      <c r="D197" t="s">
        <v>97</v>
      </c>
      <c r="E197" t="s">
        <v>98</v>
      </c>
      <c r="F197" t="s">
        <v>99</v>
      </c>
      <c r="G197" t="s">
        <v>100</v>
      </c>
      <c r="H197">
        <v>99999</v>
      </c>
      <c r="I197" t="s">
        <v>30</v>
      </c>
      <c r="J197" t="s">
        <v>101</v>
      </c>
      <c r="K197" t="s">
        <v>45</v>
      </c>
      <c r="L197" s="2">
        <v>41863</v>
      </c>
      <c r="M197" t="s">
        <v>46</v>
      </c>
      <c r="N197" t="s">
        <v>102</v>
      </c>
      <c r="O197" t="s">
        <v>98</v>
      </c>
      <c r="P197" t="s">
        <v>99</v>
      </c>
      <c r="Q197" t="s">
        <v>100</v>
      </c>
      <c r="R197">
        <v>99999</v>
      </c>
      <c r="S197" t="s">
        <v>30</v>
      </c>
      <c r="U197" t="s">
        <v>111</v>
      </c>
      <c r="V197" t="s">
        <v>112</v>
      </c>
      <c r="W197" s="3">
        <v>22</v>
      </c>
      <c r="X197">
        <v>97</v>
      </c>
      <c r="Y197" s="4">
        <v>2134</v>
      </c>
      <c r="Z197" s="3">
        <v>221.93600000000001</v>
      </c>
    </row>
    <row r="198" spans="1:26" hidden="1" x14ac:dyDescent="0.4">
      <c r="A198">
        <v>1228</v>
      </c>
      <c r="B198" s="2">
        <v>41861</v>
      </c>
      <c r="C198">
        <v>10</v>
      </c>
      <c r="D198" t="s">
        <v>97</v>
      </c>
      <c r="E198" t="s">
        <v>98</v>
      </c>
      <c r="F198" t="s">
        <v>99</v>
      </c>
      <c r="G198" t="s">
        <v>100</v>
      </c>
      <c r="H198">
        <v>99999</v>
      </c>
      <c r="I198" t="s">
        <v>30</v>
      </c>
      <c r="J198" t="s">
        <v>101</v>
      </c>
      <c r="K198" t="s">
        <v>45</v>
      </c>
      <c r="L198" s="2">
        <v>41863</v>
      </c>
      <c r="M198" t="s">
        <v>46</v>
      </c>
      <c r="N198" t="s">
        <v>102</v>
      </c>
      <c r="O198" t="s">
        <v>98</v>
      </c>
      <c r="P198" t="s">
        <v>99</v>
      </c>
      <c r="Q198" t="s">
        <v>100</v>
      </c>
      <c r="R198">
        <v>99999</v>
      </c>
      <c r="S198" t="s">
        <v>30</v>
      </c>
      <c r="U198" t="s">
        <v>64</v>
      </c>
      <c r="V198" t="s">
        <v>65</v>
      </c>
      <c r="W198" s="3">
        <v>9.1999999999999993</v>
      </c>
      <c r="X198">
        <v>96</v>
      </c>
      <c r="Y198" s="4">
        <v>883.19999999999993</v>
      </c>
      <c r="Z198" s="3">
        <v>86.553599999999989</v>
      </c>
    </row>
    <row r="199" spans="1:26" hidden="1" x14ac:dyDescent="0.4">
      <c r="A199">
        <v>1229</v>
      </c>
      <c r="B199" s="2">
        <v>41862</v>
      </c>
      <c r="C199">
        <v>11</v>
      </c>
      <c r="D199" t="s">
        <v>113</v>
      </c>
      <c r="E199" t="s">
        <v>114</v>
      </c>
      <c r="F199" t="s">
        <v>115</v>
      </c>
      <c r="G199" t="s">
        <v>116</v>
      </c>
      <c r="H199">
        <v>99999</v>
      </c>
      <c r="I199" t="s">
        <v>30</v>
      </c>
      <c r="J199" t="s">
        <v>94</v>
      </c>
      <c r="K199" t="s">
        <v>95</v>
      </c>
      <c r="L199" s="2"/>
      <c r="M199" t="s">
        <v>62</v>
      </c>
      <c r="N199" t="s">
        <v>117</v>
      </c>
      <c r="O199" t="s">
        <v>114</v>
      </c>
      <c r="P199" t="s">
        <v>115</v>
      </c>
      <c r="Q199" t="s">
        <v>116</v>
      </c>
      <c r="R199">
        <v>99999</v>
      </c>
      <c r="S199" t="s">
        <v>30</v>
      </c>
      <c r="U199" t="s">
        <v>38</v>
      </c>
      <c r="V199" t="s">
        <v>39</v>
      </c>
      <c r="W199" s="3">
        <v>3.5</v>
      </c>
      <c r="X199">
        <v>31</v>
      </c>
      <c r="Y199" s="4">
        <v>108.5</v>
      </c>
      <c r="Z199" s="3">
        <v>10.850000000000001</v>
      </c>
    </row>
    <row r="200" spans="1:26" hidden="1" x14ac:dyDescent="0.4">
      <c r="A200">
        <v>1230</v>
      </c>
      <c r="B200" s="2">
        <v>41862</v>
      </c>
      <c r="C200">
        <v>11</v>
      </c>
      <c r="D200" t="s">
        <v>113</v>
      </c>
      <c r="E200" t="s">
        <v>114</v>
      </c>
      <c r="F200" t="s">
        <v>115</v>
      </c>
      <c r="G200" t="s">
        <v>116</v>
      </c>
      <c r="H200">
        <v>99999</v>
      </c>
      <c r="I200" t="s">
        <v>30</v>
      </c>
      <c r="J200" t="s">
        <v>94</v>
      </c>
      <c r="K200" t="s">
        <v>95</v>
      </c>
      <c r="L200" s="2"/>
      <c r="M200" t="s">
        <v>62</v>
      </c>
      <c r="N200" t="s">
        <v>117</v>
      </c>
      <c r="O200" t="s">
        <v>114</v>
      </c>
      <c r="P200" t="s">
        <v>115</v>
      </c>
      <c r="Q200" t="s">
        <v>116</v>
      </c>
      <c r="R200">
        <v>99999</v>
      </c>
      <c r="S200" t="s">
        <v>30</v>
      </c>
      <c r="U200" t="s">
        <v>103</v>
      </c>
      <c r="V200" t="s">
        <v>37</v>
      </c>
      <c r="W200" s="3">
        <v>2.99</v>
      </c>
      <c r="X200">
        <v>52</v>
      </c>
      <c r="Y200" s="4">
        <v>155.48000000000002</v>
      </c>
      <c r="Z200" s="3">
        <v>16.014440000000004</v>
      </c>
    </row>
    <row r="201" spans="1:26" hidden="1" x14ac:dyDescent="0.4">
      <c r="A201">
        <v>1231</v>
      </c>
      <c r="B201" s="2">
        <v>41852</v>
      </c>
      <c r="C201">
        <v>1</v>
      </c>
      <c r="D201" t="s">
        <v>118</v>
      </c>
      <c r="E201" t="s">
        <v>119</v>
      </c>
      <c r="F201" t="s">
        <v>120</v>
      </c>
      <c r="G201" t="s">
        <v>121</v>
      </c>
      <c r="H201">
        <v>99999</v>
      </c>
      <c r="I201" t="s">
        <v>30</v>
      </c>
      <c r="J201" t="s">
        <v>60</v>
      </c>
      <c r="K201" t="s">
        <v>61</v>
      </c>
      <c r="L201" s="2"/>
      <c r="N201" t="s">
        <v>122</v>
      </c>
      <c r="O201" t="s">
        <v>119</v>
      </c>
      <c r="P201" t="s">
        <v>120</v>
      </c>
      <c r="Q201" t="s">
        <v>121</v>
      </c>
      <c r="R201">
        <v>99999</v>
      </c>
      <c r="S201" t="s">
        <v>30</v>
      </c>
      <c r="U201" t="s">
        <v>54</v>
      </c>
      <c r="V201" t="s">
        <v>37</v>
      </c>
      <c r="W201" s="3">
        <v>18</v>
      </c>
      <c r="X201">
        <v>91</v>
      </c>
      <c r="Y201" s="4">
        <v>1638</v>
      </c>
      <c r="Z201" s="3">
        <v>158.886</v>
      </c>
    </row>
    <row r="202" spans="1:26" hidden="1" x14ac:dyDescent="0.4">
      <c r="A202">
        <v>1232</v>
      </c>
      <c r="B202" s="2">
        <v>41852</v>
      </c>
      <c r="C202">
        <v>1</v>
      </c>
      <c r="D202" t="s">
        <v>118</v>
      </c>
      <c r="E202" t="s">
        <v>119</v>
      </c>
      <c r="F202" t="s">
        <v>120</v>
      </c>
      <c r="G202" t="s">
        <v>121</v>
      </c>
      <c r="H202">
        <v>99999</v>
      </c>
      <c r="I202" t="s">
        <v>30</v>
      </c>
      <c r="J202" t="s">
        <v>60</v>
      </c>
      <c r="K202" t="s">
        <v>61</v>
      </c>
      <c r="L202" s="2"/>
      <c r="N202" t="s">
        <v>122</v>
      </c>
      <c r="O202" t="s">
        <v>119</v>
      </c>
      <c r="P202" t="s">
        <v>120</v>
      </c>
      <c r="Q202" t="s">
        <v>121</v>
      </c>
      <c r="R202">
        <v>99999</v>
      </c>
      <c r="S202" t="s">
        <v>30</v>
      </c>
      <c r="U202" t="s">
        <v>55</v>
      </c>
      <c r="V202" t="s">
        <v>37</v>
      </c>
      <c r="W202" s="3">
        <v>46</v>
      </c>
      <c r="X202">
        <v>14</v>
      </c>
      <c r="Y202" s="4">
        <v>644</v>
      </c>
      <c r="Z202" s="3">
        <v>63.756000000000007</v>
      </c>
    </row>
    <row r="203" spans="1:26" hidden="1" x14ac:dyDescent="0.4">
      <c r="A203">
        <v>1233</v>
      </c>
      <c r="B203" s="2">
        <v>41852</v>
      </c>
      <c r="C203">
        <v>1</v>
      </c>
      <c r="D203" t="s">
        <v>118</v>
      </c>
      <c r="E203" t="s">
        <v>119</v>
      </c>
      <c r="F203" t="s">
        <v>120</v>
      </c>
      <c r="G203" t="s">
        <v>121</v>
      </c>
      <c r="H203">
        <v>99999</v>
      </c>
      <c r="I203" t="s">
        <v>30</v>
      </c>
      <c r="J203" t="s">
        <v>60</v>
      </c>
      <c r="K203" t="s">
        <v>61</v>
      </c>
      <c r="L203" s="2"/>
      <c r="N203" t="s">
        <v>122</v>
      </c>
      <c r="O203" t="s">
        <v>119</v>
      </c>
      <c r="P203" t="s">
        <v>120</v>
      </c>
      <c r="Q203" t="s">
        <v>121</v>
      </c>
      <c r="R203">
        <v>99999</v>
      </c>
      <c r="S203" t="s">
        <v>30</v>
      </c>
      <c r="U203" t="s">
        <v>103</v>
      </c>
      <c r="V203" t="s">
        <v>37</v>
      </c>
      <c r="W203">
        <v>2.99</v>
      </c>
      <c r="X203">
        <v>44</v>
      </c>
      <c r="Y203" s="4">
        <v>131.56</v>
      </c>
      <c r="Z203" s="3">
        <v>13.287560000000001</v>
      </c>
    </row>
    <row r="204" spans="1:26" x14ac:dyDescent="0.4">
      <c r="A204">
        <v>1234</v>
      </c>
      <c r="B204" s="2">
        <v>41879</v>
      </c>
      <c r="C204">
        <v>28</v>
      </c>
      <c r="D204" t="s">
        <v>90</v>
      </c>
      <c r="E204" t="s">
        <v>91</v>
      </c>
      <c r="F204" t="s">
        <v>92</v>
      </c>
      <c r="G204" t="s">
        <v>93</v>
      </c>
      <c r="H204">
        <v>99999</v>
      </c>
      <c r="I204" t="s">
        <v>30</v>
      </c>
      <c r="J204" t="s">
        <v>94</v>
      </c>
      <c r="K204" t="s">
        <v>95</v>
      </c>
      <c r="L204" s="2">
        <v>41881</v>
      </c>
      <c r="M204" t="s">
        <v>62</v>
      </c>
      <c r="N204" t="s">
        <v>96</v>
      </c>
      <c r="O204" t="s">
        <v>91</v>
      </c>
      <c r="P204" t="s">
        <v>92</v>
      </c>
      <c r="Q204" t="s">
        <v>93</v>
      </c>
      <c r="R204">
        <v>99999</v>
      </c>
      <c r="S204" t="s">
        <v>30</v>
      </c>
      <c r="T204" t="s">
        <v>48</v>
      </c>
      <c r="U204" t="s">
        <v>80</v>
      </c>
      <c r="V204" t="s">
        <v>81</v>
      </c>
      <c r="W204">
        <v>9.65</v>
      </c>
      <c r="X204">
        <v>97</v>
      </c>
      <c r="Y204" s="4">
        <v>936.05000000000007</v>
      </c>
      <c r="Z204" s="3">
        <v>95.477100000000021</v>
      </c>
    </row>
    <row r="205" spans="1:26" x14ac:dyDescent="0.4">
      <c r="A205">
        <v>1235</v>
      </c>
      <c r="B205" s="2">
        <v>41879</v>
      </c>
      <c r="C205">
        <v>28</v>
      </c>
      <c r="D205" t="s">
        <v>90</v>
      </c>
      <c r="E205" t="s">
        <v>91</v>
      </c>
      <c r="F205" t="s">
        <v>92</v>
      </c>
      <c r="G205" t="s">
        <v>93</v>
      </c>
      <c r="H205">
        <v>99999</v>
      </c>
      <c r="I205" t="s">
        <v>30</v>
      </c>
      <c r="J205" t="s">
        <v>94</v>
      </c>
      <c r="K205" t="s">
        <v>95</v>
      </c>
      <c r="L205" s="2">
        <v>41881</v>
      </c>
      <c r="M205" t="s">
        <v>62</v>
      </c>
      <c r="N205" t="s">
        <v>96</v>
      </c>
      <c r="O205" t="s">
        <v>91</v>
      </c>
      <c r="P205" t="s">
        <v>92</v>
      </c>
      <c r="Q205" t="s">
        <v>93</v>
      </c>
      <c r="R205">
        <v>99999</v>
      </c>
      <c r="S205" t="s">
        <v>30</v>
      </c>
      <c r="T205" t="s">
        <v>48</v>
      </c>
      <c r="U205" t="s">
        <v>123</v>
      </c>
      <c r="V205" t="s">
        <v>124</v>
      </c>
      <c r="W205">
        <v>18.399999999999999</v>
      </c>
      <c r="X205">
        <v>80</v>
      </c>
      <c r="Y205" s="4">
        <v>1472</v>
      </c>
      <c r="Z205" s="3">
        <v>150.14400000000003</v>
      </c>
    </row>
    <row r="206" spans="1:26" x14ac:dyDescent="0.4">
      <c r="A206">
        <v>1236</v>
      </c>
      <c r="B206" s="2">
        <v>41860</v>
      </c>
      <c r="C206">
        <v>9</v>
      </c>
      <c r="D206" t="s">
        <v>125</v>
      </c>
      <c r="E206" t="s">
        <v>126</v>
      </c>
      <c r="F206" t="s">
        <v>127</v>
      </c>
      <c r="G206" t="s">
        <v>128</v>
      </c>
      <c r="H206">
        <v>99999</v>
      </c>
      <c r="I206" t="s">
        <v>30</v>
      </c>
      <c r="J206" t="s">
        <v>129</v>
      </c>
      <c r="K206" t="s">
        <v>32</v>
      </c>
      <c r="L206" s="2">
        <v>41862</v>
      </c>
      <c r="M206" t="s">
        <v>46</v>
      </c>
      <c r="N206" t="s">
        <v>130</v>
      </c>
      <c r="O206" t="s">
        <v>126</v>
      </c>
      <c r="P206" t="s">
        <v>127</v>
      </c>
      <c r="Q206" t="s">
        <v>128</v>
      </c>
      <c r="R206">
        <v>99999</v>
      </c>
      <c r="S206" t="s">
        <v>30</v>
      </c>
      <c r="T206" t="s">
        <v>35</v>
      </c>
      <c r="U206" t="s">
        <v>131</v>
      </c>
      <c r="V206" t="s">
        <v>132</v>
      </c>
      <c r="W206">
        <v>19.5</v>
      </c>
      <c r="X206">
        <v>66</v>
      </c>
      <c r="Y206" s="4">
        <v>1287</v>
      </c>
      <c r="Z206" s="3">
        <v>132.56100000000001</v>
      </c>
    </row>
    <row r="207" spans="1:26" x14ac:dyDescent="0.4">
      <c r="A207">
        <v>1237</v>
      </c>
      <c r="B207" s="2">
        <v>41860</v>
      </c>
      <c r="C207">
        <v>9</v>
      </c>
      <c r="D207" t="s">
        <v>125</v>
      </c>
      <c r="E207" t="s">
        <v>126</v>
      </c>
      <c r="F207" t="s">
        <v>127</v>
      </c>
      <c r="G207" t="s">
        <v>128</v>
      </c>
      <c r="H207">
        <v>99999</v>
      </c>
      <c r="I207" t="s">
        <v>30</v>
      </c>
      <c r="J207" t="s">
        <v>129</v>
      </c>
      <c r="K207" t="s">
        <v>32</v>
      </c>
      <c r="L207" s="2">
        <v>41862</v>
      </c>
      <c r="M207" t="s">
        <v>46</v>
      </c>
      <c r="N207" t="s">
        <v>130</v>
      </c>
      <c r="O207" t="s">
        <v>126</v>
      </c>
      <c r="P207" t="s">
        <v>127</v>
      </c>
      <c r="Q207" t="s">
        <v>128</v>
      </c>
      <c r="R207">
        <v>99999</v>
      </c>
      <c r="S207" t="s">
        <v>30</v>
      </c>
      <c r="T207" t="s">
        <v>35</v>
      </c>
      <c r="U207" t="s">
        <v>133</v>
      </c>
      <c r="V207" t="s">
        <v>134</v>
      </c>
      <c r="W207">
        <v>34.799999999999997</v>
      </c>
      <c r="X207">
        <v>32</v>
      </c>
      <c r="Y207" s="4">
        <v>1113.5999999999999</v>
      </c>
      <c r="Z207" s="3">
        <v>111.36</v>
      </c>
    </row>
    <row r="208" spans="1:26" x14ac:dyDescent="0.4">
      <c r="A208">
        <v>1238</v>
      </c>
      <c r="B208" s="2">
        <v>41857</v>
      </c>
      <c r="C208">
        <v>6</v>
      </c>
      <c r="D208" t="s">
        <v>82</v>
      </c>
      <c r="E208" t="s">
        <v>83</v>
      </c>
      <c r="F208" t="s">
        <v>84</v>
      </c>
      <c r="G208" t="s">
        <v>85</v>
      </c>
      <c r="H208">
        <v>99999</v>
      </c>
      <c r="I208" t="s">
        <v>30</v>
      </c>
      <c r="J208" t="s">
        <v>86</v>
      </c>
      <c r="K208" t="s">
        <v>61</v>
      </c>
      <c r="L208" s="2">
        <v>41859</v>
      </c>
      <c r="M208" t="s">
        <v>33</v>
      </c>
      <c r="N208" t="s">
        <v>87</v>
      </c>
      <c r="O208" t="s">
        <v>83</v>
      </c>
      <c r="P208" t="s">
        <v>84</v>
      </c>
      <c r="Q208" t="s">
        <v>85</v>
      </c>
      <c r="R208">
        <v>99999</v>
      </c>
      <c r="S208" t="s">
        <v>30</v>
      </c>
      <c r="T208" t="s">
        <v>48</v>
      </c>
      <c r="U208" t="s">
        <v>36</v>
      </c>
      <c r="V208" t="s">
        <v>37</v>
      </c>
      <c r="W208">
        <v>14</v>
      </c>
      <c r="X208">
        <v>52</v>
      </c>
      <c r="Y208" s="4">
        <v>728</v>
      </c>
      <c r="Z208" s="3">
        <v>72.8</v>
      </c>
    </row>
    <row r="209" spans="1:26" x14ac:dyDescent="0.4">
      <c r="A209">
        <v>1239</v>
      </c>
      <c r="B209" s="2">
        <v>41859</v>
      </c>
      <c r="C209">
        <v>8</v>
      </c>
      <c r="D209" t="s">
        <v>56</v>
      </c>
      <c r="E209" t="s">
        <v>57</v>
      </c>
      <c r="F209" t="s">
        <v>58</v>
      </c>
      <c r="G209" t="s">
        <v>59</v>
      </c>
      <c r="H209">
        <v>99999</v>
      </c>
      <c r="I209" t="s">
        <v>30</v>
      </c>
      <c r="J209" t="s">
        <v>60</v>
      </c>
      <c r="K209" t="s">
        <v>61</v>
      </c>
      <c r="L209" s="2">
        <v>41861</v>
      </c>
      <c r="M209" t="s">
        <v>33</v>
      </c>
      <c r="N209" t="s">
        <v>63</v>
      </c>
      <c r="O209" t="s">
        <v>57</v>
      </c>
      <c r="P209" t="s">
        <v>58</v>
      </c>
      <c r="Q209" t="s">
        <v>59</v>
      </c>
      <c r="R209">
        <v>99999</v>
      </c>
      <c r="S209" t="s">
        <v>30</v>
      </c>
      <c r="T209" t="s">
        <v>35</v>
      </c>
      <c r="U209" t="s">
        <v>88</v>
      </c>
      <c r="V209" t="s">
        <v>89</v>
      </c>
      <c r="W209">
        <v>40</v>
      </c>
      <c r="X209">
        <v>78</v>
      </c>
      <c r="Y209" s="4">
        <v>3120</v>
      </c>
      <c r="Z209" s="3">
        <v>318.24</v>
      </c>
    </row>
    <row r="210" spans="1:26" x14ac:dyDescent="0.4">
      <c r="A210">
        <v>1240</v>
      </c>
      <c r="B210" s="2">
        <v>41859</v>
      </c>
      <c r="C210">
        <v>8</v>
      </c>
      <c r="D210" t="s">
        <v>56</v>
      </c>
      <c r="E210" t="s">
        <v>57</v>
      </c>
      <c r="F210" t="s">
        <v>58</v>
      </c>
      <c r="G210" t="s">
        <v>59</v>
      </c>
      <c r="H210">
        <v>99999</v>
      </c>
      <c r="I210" t="s">
        <v>30</v>
      </c>
      <c r="J210" t="s">
        <v>60</v>
      </c>
      <c r="K210" t="s">
        <v>61</v>
      </c>
      <c r="L210" s="2">
        <v>41861</v>
      </c>
      <c r="M210" t="s">
        <v>33</v>
      </c>
      <c r="N210" t="s">
        <v>63</v>
      </c>
      <c r="O210" t="s">
        <v>57</v>
      </c>
      <c r="P210" t="s">
        <v>58</v>
      </c>
      <c r="Q210" t="s">
        <v>59</v>
      </c>
      <c r="R210">
        <v>99999</v>
      </c>
      <c r="S210" t="s">
        <v>30</v>
      </c>
      <c r="T210" t="s">
        <v>35</v>
      </c>
      <c r="U210" t="s">
        <v>64</v>
      </c>
      <c r="V210" t="s">
        <v>65</v>
      </c>
      <c r="W210">
        <v>9.1999999999999993</v>
      </c>
      <c r="X210">
        <v>54</v>
      </c>
      <c r="Y210" s="4">
        <v>496.79999999999995</v>
      </c>
      <c r="Z210" s="3">
        <v>49.183199999999999</v>
      </c>
    </row>
    <row r="211" spans="1:26" x14ac:dyDescent="0.4">
      <c r="A211">
        <v>1241</v>
      </c>
      <c r="B211" s="2">
        <v>41876</v>
      </c>
      <c r="C211">
        <v>25</v>
      </c>
      <c r="D211" t="s">
        <v>137</v>
      </c>
      <c r="E211" t="s">
        <v>138</v>
      </c>
      <c r="F211" t="s">
        <v>99</v>
      </c>
      <c r="G211" t="s">
        <v>100</v>
      </c>
      <c r="H211">
        <v>99999</v>
      </c>
      <c r="I211" t="s">
        <v>30</v>
      </c>
      <c r="J211" t="s">
        <v>101</v>
      </c>
      <c r="K211" t="s">
        <v>45</v>
      </c>
      <c r="L211" s="2">
        <v>41878</v>
      </c>
      <c r="M211" t="s">
        <v>46</v>
      </c>
      <c r="N211" t="s">
        <v>139</v>
      </c>
      <c r="O211" t="s">
        <v>138</v>
      </c>
      <c r="P211" t="s">
        <v>99</v>
      </c>
      <c r="Q211" t="s">
        <v>100</v>
      </c>
      <c r="R211">
        <v>99999</v>
      </c>
      <c r="S211" t="s">
        <v>30</v>
      </c>
      <c r="T211" t="s">
        <v>79</v>
      </c>
      <c r="U211" t="s">
        <v>146</v>
      </c>
      <c r="V211" t="s">
        <v>65</v>
      </c>
      <c r="W211">
        <v>10</v>
      </c>
      <c r="X211">
        <v>55</v>
      </c>
      <c r="Y211" s="4">
        <v>550</v>
      </c>
      <c r="Z211" s="3">
        <v>52.25</v>
      </c>
    </row>
    <row r="212" spans="1:26" x14ac:dyDescent="0.4">
      <c r="A212">
        <v>1242</v>
      </c>
      <c r="B212" s="2">
        <v>41877</v>
      </c>
      <c r="C212">
        <v>26</v>
      </c>
      <c r="D212" t="s">
        <v>140</v>
      </c>
      <c r="E212" t="s">
        <v>141</v>
      </c>
      <c r="F212" t="s">
        <v>115</v>
      </c>
      <c r="G212" t="s">
        <v>116</v>
      </c>
      <c r="H212">
        <v>99999</v>
      </c>
      <c r="I212" t="s">
        <v>30</v>
      </c>
      <c r="J212" t="s">
        <v>94</v>
      </c>
      <c r="K212" t="s">
        <v>95</v>
      </c>
      <c r="L212" s="2">
        <v>41879</v>
      </c>
      <c r="M212" t="s">
        <v>62</v>
      </c>
      <c r="N212" t="s">
        <v>142</v>
      </c>
      <c r="O212" t="s">
        <v>141</v>
      </c>
      <c r="P212" t="s">
        <v>115</v>
      </c>
      <c r="Q212" t="s">
        <v>116</v>
      </c>
      <c r="R212">
        <v>99999</v>
      </c>
      <c r="S212" t="s">
        <v>30</v>
      </c>
      <c r="T212" t="s">
        <v>48</v>
      </c>
      <c r="U212" t="s">
        <v>147</v>
      </c>
      <c r="V212" t="s">
        <v>148</v>
      </c>
      <c r="W212">
        <v>21.35</v>
      </c>
      <c r="X212">
        <v>60</v>
      </c>
      <c r="Y212" s="4">
        <v>1281</v>
      </c>
      <c r="Z212" s="3">
        <v>129.381</v>
      </c>
    </row>
    <row r="213" spans="1:26" x14ac:dyDescent="0.4">
      <c r="A213">
        <v>1243</v>
      </c>
      <c r="B213" s="2">
        <v>41877</v>
      </c>
      <c r="C213">
        <v>26</v>
      </c>
      <c r="D213" t="s">
        <v>140</v>
      </c>
      <c r="E213" t="s">
        <v>141</v>
      </c>
      <c r="F213" t="s">
        <v>115</v>
      </c>
      <c r="G213" t="s">
        <v>116</v>
      </c>
      <c r="H213">
        <v>99999</v>
      </c>
      <c r="I213" t="s">
        <v>30</v>
      </c>
      <c r="J213" t="s">
        <v>94</v>
      </c>
      <c r="K213" t="s">
        <v>95</v>
      </c>
      <c r="L213" s="2">
        <v>41879</v>
      </c>
      <c r="M213" t="s">
        <v>62</v>
      </c>
      <c r="N213" t="s">
        <v>142</v>
      </c>
      <c r="O213" t="s">
        <v>141</v>
      </c>
      <c r="P213" t="s">
        <v>115</v>
      </c>
      <c r="Q213" t="s">
        <v>116</v>
      </c>
      <c r="R213">
        <v>99999</v>
      </c>
      <c r="S213" t="s">
        <v>30</v>
      </c>
      <c r="T213" t="s">
        <v>48</v>
      </c>
      <c r="U213" t="s">
        <v>80</v>
      </c>
      <c r="V213" t="s">
        <v>81</v>
      </c>
      <c r="W213">
        <v>9.65</v>
      </c>
      <c r="X213">
        <v>19</v>
      </c>
      <c r="Y213" s="4">
        <v>183.35</v>
      </c>
      <c r="Z213" s="3">
        <v>17.41825</v>
      </c>
    </row>
    <row r="214" spans="1:26" x14ac:dyDescent="0.4">
      <c r="A214">
        <v>1244</v>
      </c>
      <c r="B214" s="2">
        <v>41877</v>
      </c>
      <c r="C214">
        <v>26</v>
      </c>
      <c r="D214" t="s">
        <v>140</v>
      </c>
      <c r="E214" t="s">
        <v>141</v>
      </c>
      <c r="F214" t="s">
        <v>115</v>
      </c>
      <c r="G214" t="s">
        <v>116</v>
      </c>
      <c r="H214">
        <v>99999</v>
      </c>
      <c r="I214" t="s">
        <v>30</v>
      </c>
      <c r="J214" t="s">
        <v>94</v>
      </c>
      <c r="K214" t="s">
        <v>95</v>
      </c>
      <c r="L214" s="2">
        <v>41879</v>
      </c>
      <c r="M214" t="s">
        <v>62</v>
      </c>
      <c r="N214" t="s">
        <v>142</v>
      </c>
      <c r="O214" t="s">
        <v>141</v>
      </c>
      <c r="P214" t="s">
        <v>115</v>
      </c>
      <c r="Q214" t="s">
        <v>116</v>
      </c>
      <c r="R214">
        <v>99999</v>
      </c>
      <c r="S214" t="s">
        <v>30</v>
      </c>
      <c r="T214" t="s">
        <v>48</v>
      </c>
      <c r="U214" t="s">
        <v>123</v>
      </c>
      <c r="V214" t="s">
        <v>124</v>
      </c>
      <c r="W214">
        <v>18.399999999999999</v>
      </c>
      <c r="X214">
        <v>66</v>
      </c>
      <c r="Y214" s="4">
        <v>1214.3999999999999</v>
      </c>
      <c r="Z214" s="3">
        <v>125.08320000000001</v>
      </c>
    </row>
    <row r="215" spans="1:26" x14ac:dyDescent="0.4">
      <c r="A215">
        <v>1245</v>
      </c>
      <c r="B215" s="2">
        <v>41880</v>
      </c>
      <c r="C215">
        <v>29</v>
      </c>
      <c r="D215" t="s">
        <v>66</v>
      </c>
      <c r="E215" t="s">
        <v>67</v>
      </c>
      <c r="F215" t="s">
        <v>68</v>
      </c>
      <c r="G215" t="s">
        <v>69</v>
      </c>
      <c r="H215">
        <v>99999</v>
      </c>
      <c r="I215" t="s">
        <v>30</v>
      </c>
      <c r="J215" t="s">
        <v>70</v>
      </c>
      <c r="K215" t="s">
        <v>32</v>
      </c>
      <c r="L215" s="2">
        <v>41882</v>
      </c>
      <c r="M215" t="s">
        <v>33</v>
      </c>
      <c r="N215" t="s">
        <v>71</v>
      </c>
      <c r="O215" t="s">
        <v>67</v>
      </c>
      <c r="P215" t="s">
        <v>68</v>
      </c>
      <c r="Q215" t="s">
        <v>69</v>
      </c>
      <c r="R215">
        <v>99999</v>
      </c>
      <c r="S215" t="s">
        <v>30</v>
      </c>
      <c r="T215" t="s">
        <v>35</v>
      </c>
      <c r="U215" t="s">
        <v>36</v>
      </c>
      <c r="V215" t="s">
        <v>37</v>
      </c>
      <c r="W215">
        <v>14</v>
      </c>
      <c r="X215">
        <v>42</v>
      </c>
      <c r="Y215" s="4">
        <v>588</v>
      </c>
      <c r="Z215" s="3">
        <v>59.388000000000005</v>
      </c>
    </row>
    <row r="216" spans="1:26" x14ac:dyDescent="0.4">
      <c r="A216">
        <v>1246</v>
      </c>
      <c r="B216" s="2">
        <v>41857</v>
      </c>
      <c r="C216">
        <v>6</v>
      </c>
      <c r="D216" t="s">
        <v>82</v>
      </c>
      <c r="E216" t="s">
        <v>83</v>
      </c>
      <c r="F216" t="s">
        <v>84</v>
      </c>
      <c r="G216" t="s">
        <v>85</v>
      </c>
      <c r="H216">
        <v>99999</v>
      </c>
      <c r="I216" t="s">
        <v>30</v>
      </c>
      <c r="J216" t="s">
        <v>86</v>
      </c>
      <c r="K216" t="s">
        <v>61</v>
      </c>
      <c r="L216">
        <v>41859</v>
      </c>
      <c r="M216" t="s">
        <v>62</v>
      </c>
      <c r="N216" t="s">
        <v>87</v>
      </c>
      <c r="O216" t="s">
        <v>83</v>
      </c>
      <c r="P216" t="s">
        <v>84</v>
      </c>
      <c r="Q216" t="s">
        <v>85</v>
      </c>
      <c r="R216">
        <v>99999</v>
      </c>
      <c r="S216" t="s">
        <v>30</v>
      </c>
      <c r="T216" t="s">
        <v>35</v>
      </c>
      <c r="U216" t="s">
        <v>72</v>
      </c>
      <c r="V216" t="s">
        <v>73</v>
      </c>
      <c r="W216">
        <v>12.75</v>
      </c>
      <c r="X216">
        <v>72</v>
      </c>
      <c r="Y216" s="4">
        <v>918</v>
      </c>
      <c r="Z216" s="3">
        <v>89.046000000000006</v>
      </c>
    </row>
    <row r="217" spans="1:26" x14ac:dyDescent="0.4">
      <c r="A217">
        <v>1248</v>
      </c>
      <c r="B217" s="2">
        <v>41855</v>
      </c>
      <c r="C217">
        <v>4</v>
      </c>
      <c r="D217" t="s">
        <v>40</v>
      </c>
      <c r="E217" t="s">
        <v>41</v>
      </c>
      <c r="F217" t="s">
        <v>42</v>
      </c>
      <c r="G217" t="s">
        <v>43</v>
      </c>
      <c r="H217">
        <v>99999</v>
      </c>
      <c r="I217" t="s">
        <v>30</v>
      </c>
      <c r="J217" t="s">
        <v>44</v>
      </c>
      <c r="K217" t="s">
        <v>45</v>
      </c>
      <c r="L217">
        <v>41857</v>
      </c>
      <c r="M217" t="s">
        <v>46</v>
      </c>
      <c r="N217" t="s">
        <v>47</v>
      </c>
      <c r="O217" t="s">
        <v>41</v>
      </c>
      <c r="P217" t="s">
        <v>42</v>
      </c>
      <c r="Q217" t="s">
        <v>43</v>
      </c>
      <c r="R217">
        <v>99999</v>
      </c>
      <c r="S217" t="s">
        <v>30</v>
      </c>
      <c r="T217" t="s">
        <v>48</v>
      </c>
      <c r="U217" t="s">
        <v>149</v>
      </c>
      <c r="V217" t="s">
        <v>110</v>
      </c>
      <c r="W217">
        <v>81</v>
      </c>
      <c r="X217">
        <v>32</v>
      </c>
      <c r="Y217" s="4">
        <v>2592</v>
      </c>
      <c r="Z217" s="3">
        <v>251.42399999999998</v>
      </c>
    </row>
    <row r="218" spans="1:26" x14ac:dyDescent="0.4">
      <c r="A218">
        <v>1249</v>
      </c>
      <c r="B218" s="2">
        <v>41855</v>
      </c>
      <c r="C218">
        <v>4</v>
      </c>
      <c r="D218" t="s">
        <v>40</v>
      </c>
      <c r="E218" t="s">
        <v>41</v>
      </c>
      <c r="F218" t="s">
        <v>42</v>
      </c>
      <c r="G218" t="s">
        <v>43</v>
      </c>
      <c r="H218">
        <v>99999</v>
      </c>
      <c r="I218" t="s">
        <v>30</v>
      </c>
      <c r="J218" t="s">
        <v>44</v>
      </c>
      <c r="K218" t="s">
        <v>45</v>
      </c>
      <c r="L218">
        <v>41857</v>
      </c>
      <c r="M218" t="s">
        <v>46</v>
      </c>
      <c r="N218" t="s">
        <v>47</v>
      </c>
      <c r="O218" t="s">
        <v>41</v>
      </c>
      <c r="P218" t="s">
        <v>42</v>
      </c>
      <c r="Q218" t="s">
        <v>43</v>
      </c>
      <c r="R218">
        <v>99999</v>
      </c>
      <c r="S218" t="s">
        <v>30</v>
      </c>
      <c r="T218" t="s">
        <v>48</v>
      </c>
      <c r="U218" t="s">
        <v>150</v>
      </c>
      <c r="V218" t="s">
        <v>151</v>
      </c>
      <c r="W218">
        <v>7</v>
      </c>
      <c r="X218">
        <v>76</v>
      </c>
      <c r="Y218" s="4">
        <v>532</v>
      </c>
      <c r="Z218" s="3">
        <v>53.732000000000006</v>
      </c>
    </row>
    <row r="219" spans="1:26" hidden="1" x14ac:dyDescent="0.4">
      <c r="A219">
        <v>1250</v>
      </c>
      <c r="B219" s="2">
        <v>41892</v>
      </c>
      <c r="C219">
        <v>10</v>
      </c>
      <c r="D219" t="s">
        <v>97</v>
      </c>
      <c r="E219" t="s">
        <v>98</v>
      </c>
      <c r="F219" t="s">
        <v>99</v>
      </c>
      <c r="G219" t="s">
        <v>100</v>
      </c>
      <c r="H219">
        <v>99999</v>
      </c>
      <c r="I219" t="s">
        <v>30</v>
      </c>
      <c r="J219" t="s">
        <v>101</v>
      </c>
      <c r="K219" t="s">
        <v>45</v>
      </c>
      <c r="L219">
        <v>41894</v>
      </c>
      <c r="M219" t="s">
        <v>46</v>
      </c>
      <c r="N219" t="s">
        <v>102</v>
      </c>
      <c r="O219" t="s">
        <v>98</v>
      </c>
      <c r="P219" t="s">
        <v>99</v>
      </c>
      <c r="Q219" t="s">
        <v>100</v>
      </c>
      <c r="R219">
        <v>99999</v>
      </c>
      <c r="S219" t="s">
        <v>30</v>
      </c>
      <c r="U219" t="s">
        <v>64</v>
      </c>
      <c r="V219" t="s">
        <v>65</v>
      </c>
      <c r="W219">
        <v>9.1999999999999993</v>
      </c>
      <c r="X219">
        <v>83</v>
      </c>
      <c r="Y219" s="4">
        <v>763.59999999999991</v>
      </c>
      <c r="Z219" s="3">
        <v>74.832799999999992</v>
      </c>
    </row>
    <row r="220" spans="1:26" hidden="1" x14ac:dyDescent="0.4">
      <c r="A220">
        <v>1251</v>
      </c>
      <c r="B220" s="2">
        <v>41893</v>
      </c>
      <c r="C220">
        <v>11</v>
      </c>
      <c r="D220" t="s">
        <v>113</v>
      </c>
      <c r="E220" t="s">
        <v>114</v>
      </c>
      <c r="F220" t="s">
        <v>115</v>
      </c>
      <c r="G220" t="s">
        <v>116</v>
      </c>
      <c r="H220">
        <v>99999</v>
      </c>
      <c r="I220" t="s">
        <v>30</v>
      </c>
      <c r="J220" t="s">
        <v>94</v>
      </c>
      <c r="K220" t="s">
        <v>95</v>
      </c>
      <c r="L220" s="2"/>
      <c r="M220" t="s">
        <v>62</v>
      </c>
      <c r="N220" t="s">
        <v>117</v>
      </c>
      <c r="O220" t="s">
        <v>114</v>
      </c>
      <c r="P220" t="s">
        <v>115</v>
      </c>
      <c r="Q220" t="s">
        <v>116</v>
      </c>
      <c r="R220">
        <v>99999</v>
      </c>
      <c r="S220" t="s">
        <v>30</v>
      </c>
      <c r="U220" t="s">
        <v>38</v>
      </c>
      <c r="V220" t="s">
        <v>39</v>
      </c>
      <c r="W220">
        <v>3.5</v>
      </c>
      <c r="X220">
        <v>91</v>
      </c>
      <c r="Y220" s="4">
        <v>318.5</v>
      </c>
      <c r="Z220" s="3">
        <v>31.213000000000001</v>
      </c>
    </row>
    <row r="221" spans="1:26" hidden="1" x14ac:dyDescent="0.4">
      <c r="A221">
        <v>1252</v>
      </c>
      <c r="B221" s="2">
        <v>41893</v>
      </c>
      <c r="C221">
        <v>11</v>
      </c>
      <c r="D221" t="s">
        <v>113</v>
      </c>
      <c r="E221" t="s">
        <v>114</v>
      </c>
      <c r="F221" t="s">
        <v>115</v>
      </c>
      <c r="G221" t="s">
        <v>116</v>
      </c>
      <c r="H221">
        <v>99999</v>
      </c>
      <c r="I221" t="s">
        <v>30</v>
      </c>
      <c r="J221" t="s">
        <v>94</v>
      </c>
      <c r="K221" t="s">
        <v>95</v>
      </c>
      <c r="L221" s="2"/>
      <c r="M221" t="s">
        <v>62</v>
      </c>
      <c r="N221" t="s">
        <v>117</v>
      </c>
      <c r="O221" t="s">
        <v>114</v>
      </c>
      <c r="P221" t="s">
        <v>115</v>
      </c>
      <c r="Q221" t="s">
        <v>116</v>
      </c>
      <c r="R221">
        <v>99999</v>
      </c>
      <c r="S221" t="s">
        <v>30</v>
      </c>
      <c r="U221" t="s">
        <v>103</v>
      </c>
      <c r="V221" t="s">
        <v>37</v>
      </c>
      <c r="W221">
        <v>2.99</v>
      </c>
      <c r="X221">
        <v>64</v>
      </c>
      <c r="Y221" s="4">
        <v>191.36</v>
      </c>
      <c r="Z221" s="3">
        <v>19.518720000000002</v>
      </c>
    </row>
    <row r="222" spans="1:26" hidden="1" x14ac:dyDescent="0.4">
      <c r="A222">
        <v>1253</v>
      </c>
      <c r="B222" s="2">
        <v>41883</v>
      </c>
      <c r="C222">
        <v>1</v>
      </c>
      <c r="D222" t="s">
        <v>118</v>
      </c>
      <c r="E222" t="s">
        <v>119</v>
      </c>
      <c r="F222" t="s">
        <v>120</v>
      </c>
      <c r="G222" t="s">
        <v>121</v>
      </c>
      <c r="H222">
        <v>99999</v>
      </c>
      <c r="I222" t="s">
        <v>30</v>
      </c>
      <c r="J222" t="s">
        <v>60</v>
      </c>
      <c r="K222" t="s">
        <v>61</v>
      </c>
      <c r="L222" s="2"/>
      <c r="N222" t="s">
        <v>122</v>
      </c>
      <c r="O222" t="s">
        <v>119</v>
      </c>
      <c r="P222" t="s">
        <v>120</v>
      </c>
      <c r="Q222" t="s">
        <v>121</v>
      </c>
      <c r="R222">
        <v>99999</v>
      </c>
      <c r="S222" t="s">
        <v>30</v>
      </c>
      <c r="U222" t="s">
        <v>54</v>
      </c>
      <c r="V222" t="s">
        <v>37</v>
      </c>
      <c r="W222">
        <v>18</v>
      </c>
      <c r="X222">
        <v>58</v>
      </c>
      <c r="Y222" s="4">
        <v>1044</v>
      </c>
      <c r="Z222" s="3">
        <v>103.35600000000001</v>
      </c>
    </row>
    <row r="223" spans="1:26" hidden="1" x14ac:dyDescent="0.4">
      <c r="A223">
        <v>1254</v>
      </c>
      <c r="B223" s="2">
        <v>41883</v>
      </c>
      <c r="C223">
        <v>1</v>
      </c>
      <c r="D223" t="s">
        <v>118</v>
      </c>
      <c r="E223" t="s">
        <v>119</v>
      </c>
      <c r="F223" t="s">
        <v>120</v>
      </c>
      <c r="G223" t="s">
        <v>121</v>
      </c>
      <c r="H223">
        <v>99999</v>
      </c>
      <c r="I223" t="s">
        <v>30</v>
      </c>
      <c r="J223" t="s">
        <v>60</v>
      </c>
      <c r="K223" t="s">
        <v>61</v>
      </c>
      <c r="L223" s="2"/>
      <c r="N223" t="s">
        <v>122</v>
      </c>
      <c r="O223" t="s">
        <v>119</v>
      </c>
      <c r="P223" t="s">
        <v>120</v>
      </c>
      <c r="Q223" t="s">
        <v>121</v>
      </c>
      <c r="R223">
        <v>99999</v>
      </c>
      <c r="S223" t="s">
        <v>30</v>
      </c>
      <c r="U223" t="s">
        <v>55</v>
      </c>
      <c r="V223" t="s">
        <v>37</v>
      </c>
      <c r="W223" s="3">
        <v>46</v>
      </c>
      <c r="X223">
        <v>97</v>
      </c>
      <c r="Y223" s="4">
        <v>4462</v>
      </c>
      <c r="Z223" s="3">
        <v>464.04800000000006</v>
      </c>
    </row>
    <row r="224" spans="1:26" hidden="1" x14ac:dyDescent="0.4">
      <c r="A224">
        <v>1255</v>
      </c>
      <c r="B224" s="2">
        <v>41883</v>
      </c>
      <c r="C224">
        <v>1</v>
      </c>
      <c r="D224" t="s">
        <v>118</v>
      </c>
      <c r="E224" t="s">
        <v>119</v>
      </c>
      <c r="F224" t="s">
        <v>120</v>
      </c>
      <c r="G224" t="s">
        <v>121</v>
      </c>
      <c r="H224">
        <v>99999</v>
      </c>
      <c r="I224" t="s">
        <v>30</v>
      </c>
      <c r="J224" t="s">
        <v>60</v>
      </c>
      <c r="K224" t="s">
        <v>61</v>
      </c>
      <c r="L224" s="2"/>
      <c r="N224" t="s">
        <v>122</v>
      </c>
      <c r="O224" t="s">
        <v>119</v>
      </c>
      <c r="P224" t="s">
        <v>120</v>
      </c>
      <c r="Q224" t="s">
        <v>121</v>
      </c>
      <c r="R224">
        <v>99999</v>
      </c>
      <c r="S224" t="s">
        <v>30</v>
      </c>
      <c r="U224" t="s">
        <v>103</v>
      </c>
      <c r="V224" t="s">
        <v>37</v>
      </c>
      <c r="W224" s="3">
        <v>2.99</v>
      </c>
      <c r="X224">
        <v>14</v>
      </c>
      <c r="Y224" s="4">
        <v>41.86</v>
      </c>
      <c r="Z224" s="3">
        <v>4.35344</v>
      </c>
    </row>
    <row r="225" spans="1:26" x14ac:dyDescent="0.4">
      <c r="A225">
        <v>1256</v>
      </c>
      <c r="B225" s="2">
        <v>41910</v>
      </c>
      <c r="C225">
        <v>28</v>
      </c>
      <c r="D225" t="s">
        <v>90</v>
      </c>
      <c r="E225" t="s">
        <v>91</v>
      </c>
      <c r="F225" t="s">
        <v>92</v>
      </c>
      <c r="G225" t="s">
        <v>93</v>
      </c>
      <c r="H225">
        <v>99999</v>
      </c>
      <c r="I225" t="s">
        <v>30</v>
      </c>
      <c r="J225" t="s">
        <v>94</v>
      </c>
      <c r="K225" t="s">
        <v>95</v>
      </c>
      <c r="L225" s="2">
        <v>41912</v>
      </c>
      <c r="M225" t="s">
        <v>62</v>
      </c>
      <c r="N225" t="s">
        <v>96</v>
      </c>
      <c r="O225" t="s">
        <v>91</v>
      </c>
      <c r="P225" t="s">
        <v>92</v>
      </c>
      <c r="Q225" t="s">
        <v>93</v>
      </c>
      <c r="R225">
        <v>99999</v>
      </c>
      <c r="S225" t="s">
        <v>30</v>
      </c>
      <c r="T225" t="s">
        <v>48</v>
      </c>
      <c r="U225" t="s">
        <v>80</v>
      </c>
      <c r="V225" t="s">
        <v>81</v>
      </c>
      <c r="W225" s="3">
        <v>9.65</v>
      </c>
      <c r="X225">
        <v>68</v>
      </c>
      <c r="Y225" s="4">
        <v>656.2</v>
      </c>
      <c r="Z225" s="3">
        <v>64.307600000000008</v>
      </c>
    </row>
    <row r="226" spans="1:26" x14ac:dyDescent="0.4">
      <c r="A226">
        <v>1257</v>
      </c>
      <c r="B226" s="2">
        <v>41910</v>
      </c>
      <c r="C226">
        <v>28</v>
      </c>
      <c r="D226" t="s">
        <v>90</v>
      </c>
      <c r="E226" t="s">
        <v>91</v>
      </c>
      <c r="F226" t="s">
        <v>92</v>
      </c>
      <c r="G226" t="s">
        <v>93</v>
      </c>
      <c r="H226">
        <v>99999</v>
      </c>
      <c r="I226" t="s">
        <v>30</v>
      </c>
      <c r="J226" t="s">
        <v>94</v>
      </c>
      <c r="K226" t="s">
        <v>95</v>
      </c>
      <c r="L226">
        <v>41912</v>
      </c>
      <c r="M226" t="s">
        <v>62</v>
      </c>
      <c r="N226" t="s">
        <v>96</v>
      </c>
      <c r="O226" t="s">
        <v>91</v>
      </c>
      <c r="P226" t="s">
        <v>92</v>
      </c>
      <c r="Q226" t="s">
        <v>93</v>
      </c>
      <c r="R226">
        <v>99999</v>
      </c>
      <c r="S226" t="s">
        <v>30</v>
      </c>
      <c r="T226" t="s">
        <v>48</v>
      </c>
      <c r="U226" t="s">
        <v>123</v>
      </c>
      <c r="V226" t="s">
        <v>124</v>
      </c>
      <c r="W226" s="3">
        <v>18.399999999999999</v>
      </c>
      <c r="X226">
        <v>32</v>
      </c>
      <c r="Y226" s="4">
        <v>588.79999999999995</v>
      </c>
      <c r="Z226" s="3">
        <v>58.879999999999995</v>
      </c>
    </row>
    <row r="227" spans="1:26" x14ac:dyDescent="0.4">
      <c r="A227">
        <v>1258</v>
      </c>
      <c r="B227" s="2">
        <v>41891</v>
      </c>
      <c r="C227">
        <v>9</v>
      </c>
      <c r="D227" t="s">
        <v>125</v>
      </c>
      <c r="E227" t="s">
        <v>126</v>
      </c>
      <c r="F227" t="s">
        <v>127</v>
      </c>
      <c r="G227" t="s">
        <v>128</v>
      </c>
      <c r="H227">
        <v>99999</v>
      </c>
      <c r="I227" t="s">
        <v>30</v>
      </c>
      <c r="J227" t="s">
        <v>129</v>
      </c>
      <c r="K227" t="s">
        <v>32</v>
      </c>
      <c r="L227" s="2">
        <v>41893</v>
      </c>
      <c r="M227" t="s">
        <v>46</v>
      </c>
      <c r="N227" t="s">
        <v>130</v>
      </c>
      <c r="O227" t="s">
        <v>126</v>
      </c>
      <c r="P227" t="s">
        <v>127</v>
      </c>
      <c r="Q227" t="s">
        <v>128</v>
      </c>
      <c r="R227">
        <v>99999</v>
      </c>
      <c r="S227" t="s">
        <v>30</v>
      </c>
      <c r="T227" t="s">
        <v>35</v>
      </c>
      <c r="U227" t="s">
        <v>131</v>
      </c>
      <c r="V227" t="s">
        <v>132</v>
      </c>
      <c r="W227" s="3">
        <v>19.5</v>
      </c>
      <c r="X227">
        <v>48</v>
      </c>
      <c r="Y227" s="4">
        <v>936</v>
      </c>
      <c r="Z227" s="3">
        <v>94.536000000000016</v>
      </c>
    </row>
    <row r="228" spans="1:26" x14ac:dyDescent="0.4">
      <c r="A228">
        <v>1259</v>
      </c>
      <c r="B228" s="2">
        <v>41891</v>
      </c>
      <c r="C228">
        <v>9</v>
      </c>
      <c r="D228" t="s">
        <v>125</v>
      </c>
      <c r="E228" t="s">
        <v>126</v>
      </c>
      <c r="F228" t="s">
        <v>127</v>
      </c>
      <c r="G228" t="s">
        <v>128</v>
      </c>
      <c r="H228">
        <v>99999</v>
      </c>
      <c r="I228" t="s">
        <v>30</v>
      </c>
      <c r="J228" t="s">
        <v>129</v>
      </c>
      <c r="K228" t="s">
        <v>32</v>
      </c>
      <c r="L228" s="2">
        <v>41893</v>
      </c>
      <c r="M228" t="s">
        <v>46</v>
      </c>
      <c r="N228" t="s">
        <v>130</v>
      </c>
      <c r="O228" t="s">
        <v>126</v>
      </c>
      <c r="P228" t="s">
        <v>127</v>
      </c>
      <c r="Q228" t="s">
        <v>128</v>
      </c>
      <c r="R228">
        <v>99999</v>
      </c>
      <c r="S228" t="s">
        <v>30</v>
      </c>
      <c r="T228" t="s">
        <v>35</v>
      </c>
      <c r="U228" t="s">
        <v>133</v>
      </c>
      <c r="V228" t="s">
        <v>134</v>
      </c>
      <c r="W228" s="3">
        <v>34.799999999999997</v>
      </c>
      <c r="X228">
        <v>57</v>
      </c>
      <c r="Y228" s="4">
        <v>1983.6</v>
      </c>
      <c r="Z228" s="3">
        <v>194.39280000000002</v>
      </c>
    </row>
    <row r="229" spans="1:26" x14ac:dyDescent="0.4">
      <c r="A229">
        <v>1260</v>
      </c>
      <c r="B229" s="2">
        <v>41888</v>
      </c>
      <c r="C229">
        <v>6</v>
      </c>
      <c r="D229" t="s">
        <v>82</v>
      </c>
      <c r="E229" t="s">
        <v>83</v>
      </c>
      <c r="F229" t="s">
        <v>84</v>
      </c>
      <c r="G229" t="s">
        <v>85</v>
      </c>
      <c r="H229">
        <v>99999</v>
      </c>
      <c r="I229" t="s">
        <v>30</v>
      </c>
      <c r="J229" t="s">
        <v>86</v>
      </c>
      <c r="K229" t="s">
        <v>61</v>
      </c>
      <c r="L229" s="2">
        <v>41890</v>
      </c>
      <c r="M229" t="s">
        <v>33</v>
      </c>
      <c r="N229" t="s">
        <v>87</v>
      </c>
      <c r="O229" t="s">
        <v>83</v>
      </c>
      <c r="P229" t="s">
        <v>84</v>
      </c>
      <c r="Q229" t="s">
        <v>85</v>
      </c>
      <c r="R229">
        <v>99999</v>
      </c>
      <c r="S229" t="s">
        <v>30</v>
      </c>
      <c r="T229" t="s">
        <v>48</v>
      </c>
      <c r="U229" t="s">
        <v>36</v>
      </c>
      <c r="V229" t="s">
        <v>37</v>
      </c>
      <c r="W229" s="3">
        <v>14</v>
      </c>
      <c r="X229">
        <v>67</v>
      </c>
      <c r="Y229" s="4">
        <v>938</v>
      </c>
      <c r="Z229" s="3">
        <v>98.490000000000009</v>
      </c>
    </row>
    <row r="230" spans="1:26" x14ac:dyDescent="0.4">
      <c r="A230">
        <v>1261</v>
      </c>
      <c r="B230" s="2">
        <v>41890</v>
      </c>
      <c r="C230">
        <v>8</v>
      </c>
      <c r="D230" t="s">
        <v>56</v>
      </c>
      <c r="E230" t="s">
        <v>57</v>
      </c>
      <c r="F230" t="s">
        <v>58</v>
      </c>
      <c r="G230" t="s">
        <v>59</v>
      </c>
      <c r="H230">
        <v>99999</v>
      </c>
      <c r="I230" t="s">
        <v>30</v>
      </c>
      <c r="J230" t="s">
        <v>60</v>
      </c>
      <c r="K230" t="s">
        <v>61</v>
      </c>
      <c r="L230">
        <v>41892</v>
      </c>
      <c r="M230" t="s">
        <v>33</v>
      </c>
      <c r="N230" t="s">
        <v>63</v>
      </c>
      <c r="O230" t="s">
        <v>57</v>
      </c>
      <c r="P230" t="s">
        <v>58</v>
      </c>
      <c r="Q230" t="s">
        <v>59</v>
      </c>
      <c r="R230">
        <v>99999</v>
      </c>
      <c r="S230" t="s">
        <v>30</v>
      </c>
      <c r="T230" t="s">
        <v>35</v>
      </c>
      <c r="U230" t="s">
        <v>88</v>
      </c>
      <c r="V230" t="s">
        <v>89</v>
      </c>
      <c r="W230" s="3">
        <v>40</v>
      </c>
      <c r="X230">
        <v>48</v>
      </c>
      <c r="Y230" s="4">
        <v>1920</v>
      </c>
      <c r="Z230" s="3">
        <v>188.16</v>
      </c>
    </row>
    <row r="231" spans="1:26" x14ac:dyDescent="0.4">
      <c r="A231">
        <v>1262</v>
      </c>
      <c r="B231" s="2">
        <v>41890</v>
      </c>
      <c r="C231">
        <v>8</v>
      </c>
      <c r="D231" t="s">
        <v>56</v>
      </c>
      <c r="E231" t="s">
        <v>57</v>
      </c>
      <c r="F231" t="s">
        <v>58</v>
      </c>
      <c r="G231" t="s">
        <v>59</v>
      </c>
      <c r="H231">
        <v>99999</v>
      </c>
      <c r="I231" t="s">
        <v>30</v>
      </c>
      <c r="J231" t="s">
        <v>60</v>
      </c>
      <c r="K231" t="s">
        <v>61</v>
      </c>
      <c r="L231">
        <v>41892</v>
      </c>
      <c r="M231" t="s">
        <v>33</v>
      </c>
      <c r="N231" t="s">
        <v>63</v>
      </c>
      <c r="O231" t="s">
        <v>57</v>
      </c>
      <c r="P231" t="s">
        <v>58</v>
      </c>
      <c r="Q231" t="s">
        <v>59</v>
      </c>
      <c r="R231">
        <v>99999</v>
      </c>
      <c r="S231" t="s">
        <v>30</v>
      </c>
      <c r="T231" t="s">
        <v>35</v>
      </c>
      <c r="U231" t="s">
        <v>64</v>
      </c>
      <c r="V231" t="s">
        <v>65</v>
      </c>
      <c r="W231" s="3">
        <v>9.1999999999999993</v>
      </c>
      <c r="X231">
        <v>77</v>
      </c>
      <c r="Y231" s="4">
        <v>708.4</v>
      </c>
      <c r="Z231" s="3">
        <v>72.256799999999998</v>
      </c>
    </row>
    <row r="232" spans="1:26" x14ac:dyDescent="0.4">
      <c r="A232">
        <v>1263</v>
      </c>
      <c r="B232" s="2">
        <v>41907</v>
      </c>
      <c r="C232">
        <v>25</v>
      </c>
      <c r="D232" t="s">
        <v>137</v>
      </c>
      <c r="E232" t="s">
        <v>138</v>
      </c>
      <c r="F232" t="s">
        <v>99</v>
      </c>
      <c r="G232" t="s">
        <v>100</v>
      </c>
      <c r="H232">
        <v>99999</v>
      </c>
      <c r="I232" t="s">
        <v>30</v>
      </c>
      <c r="J232" t="s">
        <v>101</v>
      </c>
      <c r="K232" t="s">
        <v>45</v>
      </c>
      <c r="L232">
        <v>41909</v>
      </c>
      <c r="M232" t="s">
        <v>46</v>
      </c>
      <c r="N232" t="s">
        <v>139</v>
      </c>
      <c r="O232" t="s">
        <v>138</v>
      </c>
      <c r="P232" t="s">
        <v>99</v>
      </c>
      <c r="Q232" t="s">
        <v>100</v>
      </c>
      <c r="R232">
        <v>99999</v>
      </c>
      <c r="S232" t="s">
        <v>30</v>
      </c>
      <c r="T232" t="s">
        <v>79</v>
      </c>
      <c r="U232" t="s">
        <v>146</v>
      </c>
      <c r="V232" t="s">
        <v>65</v>
      </c>
      <c r="W232" s="3">
        <v>10</v>
      </c>
      <c r="X232">
        <v>94</v>
      </c>
      <c r="Y232" s="4">
        <v>940</v>
      </c>
      <c r="Z232" s="3">
        <v>97.76</v>
      </c>
    </row>
    <row r="233" spans="1:26" x14ac:dyDescent="0.4">
      <c r="A233">
        <v>1264</v>
      </c>
      <c r="B233" s="2">
        <v>41908</v>
      </c>
      <c r="C233">
        <v>26</v>
      </c>
      <c r="D233" t="s">
        <v>140</v>
      </c>
      <c r="E233" t="s">
        <v>141</v>
      </c>
      <c r="F233" t="s">
        <v>115</v>
      </c>
      <c r="G233" t="s">
        <v>116</v>
      </c>
      <c r="H233">
        <v>99999</v>
      </c>
      <c r="I233" t="s">
        <v>30</v>
      </c>
      <c r="J233" t="s">
        <v>94</v>
      </c>
      <c r="K233" t="s">
        <v>95</v>
      </c>
      <c r="L233">
        <v>41910</v>
      </c>
      <c r="M233" t="s">
        <v>62</v>
      </c>
      <c r="N233" t="s">
        <v>142</v>
      </c>
      <c r="O233" t="s">
        <v>141</v>
      </c>
      <c r="P233" t="s">
        <v>115</v>
      </c>
      <c r="Q233" t="s">
        <v>116</v>
      </c>
      <c r="R233">
        <v>99999</v>
      </c>
      <c r="S233" t="s">
        <v>30</v>
      </c>
      <c r="T233" t="s">
        <v>48</v>
      </c>
      <c r="U233" t="s">
        <v>147</v>
      </c>
      <c r="V233" t="s">
        <v>148</v>
      </c>
      <c r="W233" s="3">
        <v>21.35</v>
      </c>
      <c r="X233">
        <v>54</v>
      </c>
      <c r="Y233" s="4">
        <v>1152.9000000000001</v>
      </c>
      <c r="Z233" s="3">
        <v>121.05450000000003</v>
      </c>
    </row>
    <row r="234" spans="1:26" x14ac:dyDescent="0.4">
      <c r="A234">
        <v>1265</v>
      </c>
      <c r="B234" s="2">
        <v>41908</v>
      </c>
      <c r="C234">
        <v>26</v>
      </c>
      <c r="D234" t="s">
        <v>140</v>
      </c>
      <c r="E234" t="s">
        <v>141</v>
      </c>
      <c r="F234" t="s">
        <v>115</v>
      </c>
      <c r="G234" t="s">
        <v>116</v>
      </c>
      <c r="H234">
        <v>99999</v>
      </c>
      <c r="I234" t="s">
        <v>30</v>
      </c>
      <c r="J234" t="s">
        <v>94</v>
      </c>
      <c r="K234" t="s">
        <v>95</v>
      </c>
      <c r="L234">
        <v>41910</v>
      </c>
      <c r="M234" t="s">
        <v>62</v>
      </c>
      <c r="N234" t="s">
        <v>142</v>
      </c>
      <c r="O234" t="s">
        <v>141</v>
      </c>
      <c r="P234" t="s">
        <v>115</v>
      </c>
      <c r="Q234" t="s">
        <v>116</v>
      </c>
      <c r="R234">
        <v>99999</v>
      </c>
      <c r="S234" t="s">
        <v>30</v>
      </c>
      <c r="T234" t="s">
        <v>48</v>
      </c>
      <c r="U234" t="s">
        <v>80</v>
      </c>
      <c r="V234" t="s">
        <v>81</v>
      </c>
      <c r="W234" s="3">
        <v>9.65</v>
      </c>
      <c r="X234">
        <v>43</v>
      </c>
      <c r="Y234" s="4">
        <v>414.95</v>
      </c>
      <c r="Z234" s="3">
        <v>40.250150000000005</v>
      </c>
    </row>
    <row r="235" spans="1:26" x14ac:dyDescent="0.4">
      <c r="A235">
        <v>1266</v>
      </c>
      <c r="B235" s="2">
        <v>41908</v>
      </c>
      <c r="C235">
        <v>26</v>
      </c>
      <c r="D235" t="s">
        <v>140</v>
      </c>
      <c r="E235" t="s">
        <v>141</v>
      </c>
      <c r="F235" t="s">
        <v>115</v>
      </c>
      <c r="G235" t="s">
        <v>116</v>
      </c>
      <c r="H235">
        <v>99999</v>
      </c>
      <c r="I235" t="s">
        <v>30</v>
      </c>
      <c r="J235" t="s">
        <v>94</v>
      </c>
      <c r="K235" t="s">
        <v>95</v>
      </c>
      <c r="L235" s="2">
        <v>41910</v>
      </c>
      <c r="M235" t="s">
        <v>62</v>
      </c>
      <c r="N235" t="s">
        <v>142</v>
      </c>
      <c r="O235" t="s">
        <v>141</v>
      </c>
      <c r="P235" t="s">
        <v>115</v>
      </c>
      <c r="Q235" t="s">
        <v>116</v>
      </c>
      <c r="R235">
        <v>99999</v>
      </c>
      <c r="S235" t="s">
        <v>30</v>
      </c>
      <c r="T235" t="s">
        <v>48</v>
      </c>
      <c r="U235" t="s">
        <v>123</v>
      </c>
      <c r="V235" t="s">
        <v>124</v>
      </c>
      <c r="W235" s="3">
        <v>18.399999999999999</v>
      </c>
      <c r="X235">
        <v>71</v>
      </c>
      <c r="Y235" s="4">
        <v>1306.3999999999999</v>
      </c>
      <c r="Z235" s="3">
        <v>134.55919999999998</v>
      </c>
    </row>
    <row r="236" spans="1:26" x14ac:dyDescent="0.4">
      <c r="A236">
        <v>1267</v>
      </c>
      <c r="B236" s="2">
        <v>41911</v>
      </c>
      <c r="C236">
        <v>29</v>
      </c>
      <c r="D236" t="s">
        <v>66</v>
      </c>
      <c r="E236" t="s">
        <v>67</v>
      </c>
      <c r="F236" t="s">
        <v>68</v>
      </c>
      <c r="G236" t="s">
        <v>69</v>
      </c>
      <c r="H236">
        <v>99999</v>
      </c>
      <c r="I236" t="s">
        <v>30</v>
      </c>
      <c r="J236" t="s">
        <v>70</v>
      </c>
      <c r="K236" t="s">
        <v>32</v>
      </c>
      <c r="L236" s="2">
        <v>41913</v>
      </c>
      <c r="M236" t="s">
        <v>33</v>
      </c>
      <c r="N236" t="s">
        <v>71</v>
      </c>
      <c r="O236" t="s">
        <v>67</v>
      </c>
      <c r="P236" t="s">
        <v>68</v>
      </c>
      <c r="Q236" t="s">
        <v>69</v>
      </c>
      <c r="R236">
        <v>99999</v>
      </c>
      <c r="S236" t="s">
        <v>30</v>
      </c>
      <c r="T236" t="s">
        <v>35</v>
      </c>
      <c r="U236" t="s">
        <v>36</v>
      </c>
      <c r="V236" t="s">
        <v>37</v>
      </c>
      <c r="W236" s="3">
        <v>14</v>
      </c>
      <c r="X236">
        <v>50</v>
      </c>
      <c r="Y236" s="4">
        <v>700</v>
      </c>
      <c r="Z236" s="3">
        <v>67.2</v>
      </c>
    </row>
    <row r="237" spans="1:26" x14ac:dyDescent="0.4">
      <c r="A237">
        <v>1268</v>
      </c>
      <c r="B237" s="2">
        <v>41888</v>
      </c>
      <c r="C237">
        <v>6</v>
      </c>
      <c r="D237" t="s">
        <v>82</v>
      </c>
      <c r="E237" t="s">
        <v>83</v>
      </c>
      <c r="F237" t="s">
        <v>84</v>
      </c>
      <c r="G237" t="s">
        <v>85</v>
      </c>
      <c r="H237">
        <v>99999</v>
      </c>
      <c r="I237" t="s">
        <v>30</v>
      </c>
      <c r="J237" t="s">
        <v>86</v>
      </c>
      <c r="K237" t="s">
        <v>61</v>
      </c>
      <c r="L237" s="2">
        <v>41890</v>
      </c>
      <c r="M237" t="s">
        <v>62</v>
      </c>
      <c r="N237" t="s">
        <v>87</v>
      </c>
      <c r="O237" t="s">
        <v>83</v>
      </c>
      <c r="P237" t="s">
        <v>84</v>
      </c>
      <c r="Q237" t="s">
        <v>85</v>
      </c>
      <c r="R237">
        <v>99999</v>
      </c>
      <c r="S237" t="s">
        <v>30</v>
      </c>
      <c r="T237" t="s">
        <v>35</v>
      </c>
      <c r="U237" t="s">
        <v>72</v>
      </c>
      <c r="V237" t="s">
        <v>73</v>
      </c>
      <c r="W237" s="3">
        <v>12.75</v>
      </c>
      <c r="X237">
        <v>96</v>
      </c>
      <c r="Y237" s="4">
        <v>1224</v>
      </c>
      <c r="Z237" s="3">
        <v>119.952</v>
      </c>
    </row>
    <row r="238" spans="1:26" x14ac:dyDescent="0.4">
      <c r="A238">
        <v>1270</v>
      </c>
      <c r="B238" s="2">
        <v>41886</v>
      </c>
      <c r="C238">
        <v>4</v>
      </c>
      <c r="D238" t="s">
        <v>40</v>
      </c>
      <c r="E238" t="s">
        <v>41</v>
      </c>
      <c r="F238" t="s">
        <v>42</v>
      </c>
      <c r="G238" t="s">
        <v>43</v>
      </c>
      <c r="H238">
        <v>99999</v>
      </c>
      <c r="I238" t="s">
        <v>30</v>
      </c>
      <c r="J238" t="s">
        <v>44</v>
      </c>
      <c r="K238" t="s">
        <v>45</v>
      </c>
      <c r="L238" s="2">
        <v>41888</v>
      </c>
      <c r="M238" t="s">
        <v>46</v>
      </c>
      <c r="N238" t="s">
        <v>47</v>
      </c>
      <c r="O238" t="s">
        <v>41</v>
      </c>
      <c r="P238" t="s">
        <v>42</v>
      </c>
      <c r="Q238" t="s">
        <v>43</v>
      </c>
      <c r="R238">
        <v>99999</v>
      </c>
      <c r="S238" t="s">
        <v>30</v>
      </c>
      <c r="T238" t="s">
        <v>48</v>
      </c>
      <c r="U238" t="s">
        <v>149</v>
      </c>
      <c r="V238" t="s">
        <v>110</v>
      </c>
      <c r="W238" s="3">
        <v>81</v>
      </c>
      <c r="X238">
        <v>54</v>
      </c>
      <c r="Y238" s="4">
        <v>4374</v>
      </c>
      <c r="Z238" s="3">
        <v>437.40000000000003</v>
      </c>
    </row>
    <row r="239" spans="1:26" x14ac:dyDescent="0.4">
      <c r="A239">
        <v>1271</v>
      </c>
      <c r="B239" s="2">
        <v>41886</v>
      </c>
      <c r="C239">
        <v>4</v>
      </c>
      <c r="D239" t="s">
        <v>40</v>
      </c>
      <c r="E239" t="s">
        <v>41</v>
      </c>
      <c r="F239" t="s">
        <v>42</v>
      </c>
      <c r="G239" t="s">
        <v>43</v>
      </c>
      <c r="H239">
        <v>99999</v>
      </c>
      <c r="I239" t="s">
        <v>30</v>
      </c>
      <c r="J239" t="s">
        <v>44</v>
      </c>
      <c r="K239" t="s">
        <v>45</v>
      </c>
      <c r="L239" s="2">
        <v>41888</v>
      </c>
      <c r="M239" t="s">
        <v>46</v>
      </c>
      <c r="N239" t="s">
        <v>47</v>
      </c>
      <c r="O239" t="s">
        <v>41</v>
      </c>
      <c r="P239" t="s">
        <v>42</v>
      </c>
      <c r="Q239" t="s">
        <v>43</v>
      </c>
      <c r="R239">
        <v>99999</v>
      </c>
      <c r="S239" t="s">
        <v>30</v>
      </c>
      <c r="T239" t="s">
        <v>48</v>
      </c>
      <c r="U239" t="s">
        <v>150</v>
      </c>
      <c r="V239" t="s">
        <v>151</v>
      </c>
      <c r="W239" s="3">
        <v>7</v>
      </c>
      <c r="X239">
        <v>39</v>
      </c>
      <c r="Y239" s="4">
        <v>273</v>
      </c>
      <c r="Z239" s="3">
        <v>27.3</v>
      </c>
    </row>
    <row r="240" spans="1:26" x14ac:dyDescent="0.4">
      <c r="A240">
        <v>1273</v>
      </c>
      <c r="B240" s="2">
        <v>41890</v>
      </c>
      <c r="C240">
        <v>8</v>
      </c>
      <c r="D240" t="s">
        <v>56</v>
      </c>
      <c r="E240" t="s">
        <v>57</v>
      </c>
      <c r="F240" t="s">
        <v>58</v>
      </c>
      <c r="G240" t="s">
        <v>59</v>
      </c>
      <c r="H240">
        <v>99999</v>
      </c>
      <c r="I240" t="s">
        <v>30</v>
      </c>
      <c r="J240" t="s">
        <v>60</v>
      </c>
      <c r="K240" t="s">
        <v>61</v>
      </c>
      <c r="L240" s="2">
        <v>41892</v>
      </c>
      <c r="M240" t="s">
        <v>62</v>
      </c>
      <c r="N240" t="s">
        <v>63</v>
      </c>
      <c r="O240" t="s">
        <v>57</v>
      </c>
      <c r="P240" t="s">
        <v>58</v>
      </c>
      <c r="Q240" t="s">
        <v>59</v>
      </c>
      <c r="R240">
        <v>99999</v>
      </c>
      <c r="S240" t="s">
        <v>30</v>
      </c>
      <c r="T240" t="s">
        <v>48</v>
      </c>
      <c r="U240" t="s">
        <v>133</v>
      </c>
      <c r="V240" t="s">
        <v>134</v>
      </c>
      <c r="W240" s="3">
        <v>34.799999999999997</v>
      </c>
      <c r="X240">
        <v>63</v>
      </c>
      <c r="Y240" s="4">
        <v>2192.3999999999996</v>
      </c>
      <c r="Z240" s="3">
        <v>230.202</v>
      </c>
    </row>
    <row r="241" spans="1:26" x14ac:dyDescent="0.4">
      <c r="A241">
        <v>1276</v>
      </c>
      <c r="B241" s="2">
        <v>41885</v>
      </c>
      <c r="C241">
        <v>3</v>
      </c>
      <c r="D241" t="s">
        <v>74</v>
      </c>
      <c r="E241" t="s">
        <v>75</v>
      </c>
      <c r="F241" t="s">
        <v>76</v>
      </c>
      <c r="G241" t="s">
        <v>77</v>
      </c>
      <c r="H241">
        <v>99999</v>
      </c>
      <c r="I241" t="s">
        <v>30</v>
      </c>
      <c r="J241" t="s">
        <v>31</v>
      </c>
      <c r="K241" t="s">
        <v>32</v>
      </c>
      <c r="L241" s="2">
        <v>41887</v>
      </c>
      <c r="M241" t="s">
        <v>33</v>
      </c>
      <c r="N241" t="s">
        <v>78</v>
      </c>
      <c r="O241" t="s">
        <v>75</v>
      </c>
      <c r="P241" t="s">
        <v>76</v>
      </c>
      <c r="Q241" t="s">
        <v>77</v>
      </c>
      <c r="R241">
        <v>99999</v>
      </c>
      <c r="S241" t="s">
        <v>30</v>
      </c>
      <c r="T241" t="s">
        <v>79</v>
      </c>
      <c r="U241" t="s">
        <v>135</v>
      </c>
      <c r="V241" t="s">
        <v>112</v>
      </c>
      <c r="W241" s="3">
        <v>10</v>
      </c>
      <c r="X241">
        <v>71</v>
      </c>
      <c r="Y241" s="4">
        <v>710</v>
      </c>
      <c r="Z241" s="3">
        <v>73.13</v>
      </c>
    </row>
    <row r="242" spans="1:26" x14ac:dyDescent="0.4">
      <c r="A242">
        <v>1277</v>
      </c>
      <c r="B242" s="2">
        <v>41885</v>
      </c>
      <c r="C242">
        <v>3</v>
      </c>
      <c r="D242" t="s">
        <v>74</v>
      </c>
      <c r="E242" t="s">
        <v>75</v>
      </c>
      <c r="F242" t="s">
        <v>76</v>
      </c>
      <c r="G242" t="s">
        <v>77</v>
      </c>
      <c r="H242">
        <v>99999</v>
      </c>
      <c r="I242" t="s">
        <v>30</v>
      </c>
      <c r="J242" t="s">
        <v>31</v>
      </c>
      <c r="K242" t="s">
        <v>32</v>
      </c>
      <c r="L242" s="2">
        <v>41887</v>
      </c>
      <c r="M242" t="s">
        <v>33</v>
      </c>
      <c r="N242" t="s">
        <v>78</v>
      </c>
      <c r="O242" t="s">
        <v>75</v>
      </c>
      <c r="P242" t="s">
        <v>76</v>
      </c>
      <c r="Q242" t="s">
        <v>77</v>
      </c>
      <c r="R242">
        <v>99999</v>
      </c>
      <c r="S242" t="s">
        <v>30</v>
      </c>
      <c r="T242" t="s">
        <v>79</v>
      </c>
      <c r="U242" t="s">
        <v>88</v>
      </c>
      <c r="V242" t="s">
        <v>89</v>
      </c>
      <c r="W242" s="3">
        <v>40</v>
      </c>
      <c r="X242">
        <v>88</v>
      </c>
      <c r="Y242" s="4">
        <v>3520</v>
      </c>
      <c r="Z242" s="3">
        <v>366.08000000000004</v>
      </c>
    </row>
    <row r="243" spans="1:26" x14ac:dyDescent="0.4">
      <c r="A243">
        <v>1281</v>
      </c>
      <c r="B243" s="2">
        <v>41892</v>
      </c>
      <c r="C243">
        <v>10</v>
      </c>
      <c r="D243" t="s">
        <v>97</v>
      </c>
      <c r="E243" t="s">
        <v>98</v>
      </c>
      <c r="F243" t="s">
        <v>99</v>
      </c>
      <c r="G243" t="s">
        <v>100</v>
      </c>
      <c r="H243">
        <v>99999</v>
      </c>
      <c r="I243" t="s">
        <v>30</v>
      </c>
      <c r="J243" t="s">
        <v>101</v>
      </c>
      <c r="K243" t="s">
        <v>45</v>
      </c>
      <c r="L243" s="2">
        <v>41894</v>
      </c>
      <c r="M243" t="s">
        <v>33</v>
      </c>
      <c r="N243" t="s">
        <v>102</v>
      </c>
      <c r="O243" t="s">
        <v>98</v>
      </c>
      <c r="P243" t="s">
        <v>99</v>
      </c>
      <c r="Q243" t="s">
        <v>100</v>
      </c>
      <c r="R243">
        <v>99999</v>
      </c>
      <c r="S243" t="s">
        <v>30</v>
      </c>
      <c r="T243" t="s">
        <v>48</v>
      </c>
      <c r="U243" t="s">
        <v>136</v>
      </c>
      <c r="V243" t="s">
        <v>39</v>
      </c>
      <c r="W243" s="3">
        <v>10</v>
      </c>
      <c r="X243">
        <v>59</v>
      </c>
      <c r="Y243" s="4">
        <v>590</v>
      </c>
      <c r="Z243" s="3">
        <v>59.59</v>
      </c>
    </row>
    <row r="244" spans="1:26" x14ac:dyDescent="0.4">
      <c r="A244">
        <v>1282</v>
      </c>
      <c r="B244" s="2">
        <v>41918</v>
      </c>
      <c r="C244">
        <v>6</v>
      </c>
      <c r="D244" t="s">
        <v>82</v>
      </c>
      <c r="E244" t="s">
        <v>83</v>
      </c>
      <c r="F244" t="s">
        <v>84</v>
      </c>
      <c r="G244" t="s">
        <v>85</v>
      </c>
      <c r="H244">
        <v>99999</v>
      </c>
      <c r="I244" t="s">
        <v>30</v>
      </c>
      <c r="J244" t="s">
        <v>86</v>
      </c>
      <c r="K244" t="s">
        <v>61</v>
      </c>
      <c r="L244" s="2">
        <v>41920</v>
      </c>
      <c r="M244" t="s">
        <v>33</v>
      </c>
      <c r="N244" t="s">
        <v>87</v>
      </c>
      <c r="O244" t="s">
        <v>83</v>
      </c>
      <c r="P244" t="s">
        <v>84</v>
      </c>
      <c r="Q244" t="s">
        <v>85</v>
      </c>
      <c r="R244">
        <v>99999</v>
      </c>
      <c r="S244" t="s">
        <v>30</v>
      </c>
      <c r="T244" t="s">
        <v>48</v>
      </c>
      <c r="U244" t="s">
        <v>88</v>
      </c>
      <c r="V244" t="s">
        <v>89</v>
      </c>
      <c r="W244" s="3">
        <v>40</v>
      </c>
      <c r="X244">
        <v>94</v>
      </c>
      <c r="Y244" s="4">
        <v>3760</v>
      </c>
      <c r="Z244" s="3">
        <v>376</v>
      </c>
    </row>
    <row r="245" spans="1:26" x14ac:dyDescent="0.4">
      <c r="A245">
        <v>1283</v>
      </c>
      <c r="B245" s="2">
        <v>41940</v>
      </c>
      <c r="C245">
        <v>28</v>
      </c>
      <c r="D245" t="s">
        <v>90</v>
      </c>
      <c r="E245" t="s">
        <v>91</v>
      </c>
      <c r="F245" t="s">
        <v>92</v>
      </c>
      <c r="G245" t="s">
        <v>93</v>
      </c>
      <c r="H245">
        <v>99999</v>
      </c>
      <c r="I245" t="s">
        <v>30</v>
      </c>
      <c r="J245" t="s">
        <v>94</v>
      </c>
      <c r="K245" t="s">
        <v>95</v>
      </c>
      <c r="L245" s="2">
        <v>41942</v>
      </c>
      <c r="M245" t="s">
        <v>62</v>
      </c>
      <c r="N245" t="s">
        <v>96</v>
      </c>
      <c r="O245" t="s">
        <v>91</v>
      </c>
      <c r="P245" t="s">
        <v>92</v>
      </c>
      <c r="Q245" t="s">
        <v>93</v>
      </c>
      <c r="R245">
        <v>99999</v>
      </c>
      <c r="S245" t="s">
        <v>30</v>
      </c>
      <c r="T245" t="s">
        <v>35</v>
      </c>
      <c r="U245" t="s">
        <v>55</v>
      </c>
      <c r="V245" t="s">
        <v>37</v>
      </c>
      <c r="W245" s="3">
        <v>46</v>
      </c>
      <c r="X245">
        <v>86</v>
      </c>
      <c r="Y245" s="4">
        <v>3956</v>
      </c>
      <c r="Z245" s="3">
        <v>379.77600000000001</v>
      </c>
    </row>
    <row r="246" spans="1:26" x14ac:dyDescent="0.4">
      <c r="A246">
        <v>1284</v>
      </c>
      <c r="B246" s="2">
        <v>41920</v>
      </c>
      <c r="C246">
        <v>8</v>
      </c>
      <c r="D246" t="s">
        <v>56</v>
      </c>
      <c r="E246" t="s">
        <v>57</v>
      </c>
      <c r="F246" t="s">
        <v>58</v>
      </c>
      <c r="G246" t="s">
        <v>59</v>
      </c>
      <c r="H246">
        <v>99999</v>
      </c>
      <c r="I246" t="s">
        <v>30</v>
      </c>
      <c r="J246" t="s">
        <v>60</v>
      </c>
      <c r="K246" t="s">
        <v>61</v>
      </c>
      <c r="L246" s="2">
        <v>41922</v>
      </c>
      <c r="M246" t="s">
        <v>62</v>
      </c>
      <c r="N246" t="s">
        <v>63</v>
      </c>
      <c r="O246" t="s">
        <v>57</v>
      </c>
      <c r="P246" t="s">
        <v>58</v>
      </c>
      <c r="Q246" t="s">
        <v>59</v>
      </c>
      <c r="R246">
        <v>99999</v>
      </c>
      <c r="S246" t="s">
        <v>30</v>
      </c>
      <c r="T246" t="s">
        <v>35</v>
      </c>
      <c r="U246" t="s">
        <v>72</v>
      </c>
      <c r="V246" t="s">
        <v>73</v>
      </c>
      <c r="W246" s="3">
        <v>12.75</v>
      </c>
      <c r="X246">
        <v>61</v>
      </c>
      <c r="Y246" s="4">
        <v>777.75</v>
      </c>
      <c r="Z246" s="3">
        <v>78.552750000000003</v>
      </c>
    </row>
    <row r="247" spans="1:26" x14ac:dyDescent="0.4">
      <c r="A247">
        <v>1285</v>
      </c>
      <c r="B247" s="2">
        <v>41922</v>
      </c>
      <c r="C247">
        <v>10</v>
      </c>
      <c r="D247" t="s">
        <v>97</v>
      </c>
      <c r="E247" t="s">
        <v>98</v>
      </c>
      <c r="F247" t="s">
        <v>99</v>
      </c>
      <c r="G247" t="s">
        <v>100</v>
      </c>
      <c r="H247">
        <v>99999</v>
      </c>
      <c r="I247" t="s">
        <v>30</v>
      </c>
      <c r="J247" t="s">
        <v>101</v>
      </c>
      <c r="K247" t="s">
        <v>45</v>
      </c>
      <c r="L247" s="2">
        <v>41924</v>
      </c>
      <c r="M247" t="s">
        <v>33</v>
      </c>
      <c r="N247" t="s">
        <v>102</v>
      </c>
      <c r="O247" t="s">
        <v>98</v>
      </c>
      <c r="P247" t="s">
        <v>99</v>
      </c>
      <c r="Q247" t="s">
        <v>100</v>
      </c>
      <c r="R247">
        <v>99999</v>
      </c>
      <c r="S247" t="s">
        <v>30</v>
      </c>
      <c r="T247" t="s">
        <v>48</v>
      </c>
      <c r="U247" t="s">
        <v>103</v>
      </c>
      <c r="V247" t="s">
        <v>37</v>
      </c>
      <c r="W247" s="3">
        <v>2.99</v>
      </c>
      <c r="X247">
        <v>32</v>
      </c>
      <c r="Y247" s="4">
        <v>95.68</v>
      </c>
      <c r="Z247" s="3">
        <v>9.7593600000000009</v>
      </c>
    </row>
    <row r="248" spans="1:26" hidden="1" x14ac:dyDescent="0.4">
      <c r="A248">
        <v>1286</v>
      </c>
      <c r="B248" s="2">
        <v>41919</v>
      </c>
      <c r="C248">
        <v>7</v>
      </c>
      <c r="D248" t="s">
        <v>104</v>
      </c>
      <c r="E248" t="s">
        <v>105</v>
      </c>
      <c r="F248" t="s">
        <v>106</v>
      </c>
      <c r="G248" t="s">
        <v>107</v>
      </c>
      <c r="H248">
        <v>99999</v>
      </c>
      <c r="I248" t="s">
        <v>30</v>
      </c>
      <c r="J248" t="s">
        <v>60</v>
      </c>
      <c r="K248" t="s">
        <v>61</v>
      </c>
      <c r="L248" s="2"/>
      <c r="N248" t="s">
        <v>108</v>
      </c>
      <c r="O248" t="s">
        <v>105</v>
      </c>
      <c r="P248" t="s">
        <v>106</v>
      </c>
      <c r="Q248" t="s">
        <v>107</v>
      </c>
      <c r="R248">
        <v>99999</v>
      </c>
      <c r="S248" t="s">
        <v>30</v>
      </c>
      <c r="U248" t="s">
        <v>55</v>
      </c>
      <c r="V248" t="s">
        <v>37</v>
      </c>
      <c r="W248">
        <v>46</v>
      </c>
      <c r="X248">
        <v>62</v>
      </c>
      <c r="Y248" s="4">
        <v>2852</v>
      </c>
      <c r="Z248" s="3">
        <v>290.904</v>
      </c>
    </row>
    <row r="249" spans="1:26" hidden="1" x14ac:dyDescent="0.4">
      <c r="A249">
        <v>1287</v>
      </c>
      <c r="B249" s="2">
        <v>41922</v>
      </c>
      <c r="C249">
        <v>10</v>
      </c>
      <c r="D249" t="s">
        <v>97</v>
      </c>
      <c r="E249" t="s">
        <v>98</v>
      </c>
      <c r="F249" t="s">
        <v>99</v>
      </c>
      <c r="G249" t="s">
        <v>100</v>
      </c>
      <c r="H249">
        <v>99999</v>
      </c>
      <c r="I249" t="s">
        <v>30</v>
      </c>
      <c r="J249" t="s">
        <v>101</v>
      </c>
      <c r="K249" t="s">
        <v>45</v>
      </c>
      <c r="L249" s="2">
        <v>41924</v>
      </c>
      <c r="M249" t="s">
        <v>46</v>
      </c>
      <c r="N249" t="s">
        <v>102</v>
      </c>
      <c r="O249" t="s">
        <v>98</v>
      </c>
      <c r="P249" t="s">
        <v>99</v>
      </c>
      <c r="Q249" t="s">
        <v>100</v>
      </c>
      <c r="R249">
        <v>99999</v>
      </c>
      <c r="S249" t="s">
        <v>30</v>
      </c>
      <c r="U249" t="s">
        <v>109</v>
      </c>
      <c r="V249" t="s">
        <v>110</v>
      </c>
      <c r="W249">
        <v>25</v>
      </c>
      <c r="X249">
        <v>60</v>
      </c>
      <c r="Y249" s="4">
        <v>1500</v>
      </c>
      <c r="Z249" s="3">
        <v>154.5</v>
      </c>
    </row>
    <row r="250" spans="1:26" hidden="1" x14ac:dyDescent="0.4">
      <c r="A250">
        <v>1288</v>
      </c>
      <c r="B250" s="2">
        <v>41922</v>
      </c>
      <c r="C250">
        <v>10</v>
      </c>
      <c r="D250" t="s">
        <v>97</v>
      </c>
      <c r="E250" t="s">
        <v>98</v>
      </c>
      <c r="F250" t="s">
        <v>99</v>
      </c>
      <c r="G250" t="s">
        <v>100</v>
      </c>
      <c r="H250">
        <v>99999</v>
      </c>
      <c r="I250" t="s">
        <v>30</v>
      </c>
      <c r="J250" t="s">
        <v>101</v>
      </c>
      <c r="K250" t="s">
        <v>45</v>
      </c>
      <c r="L250" s="2">
        <v>41924</v>
      </c>
      <c r="M250" t="s">
        <v>46</v>
      </c>
      <c r="N250" t="s">
        <v>102</v>
      </c>
      <c r="O250" t="s">
        <v>98</v>
      </c>
      <c r="P250" t="s">
        <v>99</v>
      </c>
      <c r="Q250" t="s">
        <v>100</v>
      </c>
      <c r="R250">
        <v>99999</v>
      </c>
      <c r="S250" t="s">
        <v>30</v>
      </c>
      <c r="U250" t="s">
        <v>111</v>
      </c>
      <c r="V250" t="s">
        <v>112</v>
      </c>
      <c r="W250">
        <v>22</v>
      </c>
      <c r="X250">
        <v>51</v>
      </c>
      <c r="Y250" s="4">
        <v>1122</v>
      </c>
      <c r="Z250" s="3">
        <v>109.956</v>
      </c>
    </row>
    <row r="251" spans="1:26" hidden="1" x14ac:dyDescent="0.4">
      <c r="A251">
        <v>1289</v>
      </c>
      <c r="B251" s="2">
        <v>41922</v>
      </c>
      <c r="C251">
        <v>10</v>
      </c>
      <c r="D251" t="s">
        <v>97</v>
      </c>
      <c r="E251" t="s">
        <v>98</v>
      </c>
      <c r="F251" t="s">
        <v>99</v>
      </c>
      <c r="G251" t="s">
        <v>100</v>
      </c>
      <c r="H251">
        <v>99999</v>
      </c>
      <c r="I251" t="s">
        <v>30</v>
      </c>
      <c r="J251" t="s">
        <v>101</v>
      </c>
      <c r="K251" t="s">
        <v>45</v>
      </c>
      <c r="L251" s="2">
        <v>41924</v>
      </c>
      <c r="M251" t="s">
        <v>46</v>
      </c>
      <c r="N251" t="s">
        <v>102</v>
      </c>
      <c r="O251" t="s">
        <v>98</v>
      </c>
      <c r="P251" t="s">
        <v>99</v>
      </c>
      <c r="Q251" t="s">
        <v>100</v>
      </c>
      <c r="R251">
        <v>99999</v>
      </c>
      <c r="S251" t="s">
        <v>30</v>
      </c>
      <c r="U251" t="s">
        <v>64</v>
      </c>
      <c r="V251" t="s">
        <v>65</v>
      </c>
      <c r="W251" s="3">
        <v>9.1999999999999993</v>
      </c>
      <c r="X251">
        <v>49</v>
      </c>
      <c r="Y251" s="4">
        <v>450.79999999999995</v>
      </c>
      <c r="Z251" s="3">
        <v>44.629199999999997</v>
      </c>
    </row>
    <row r="252" spans="1:26" hidden="1" x14ac:dyDescent="0.4">
      <c r="A252">
        <v>1290</v>
      </c>
      <c r="B252" s="2">
        <v>41923</v>
      </c>
      <c r="C252">
        <v>11</v>
      </c>
      <c r="D252" t="s">
        <v>113</v>
      </c>
      <c r="E252" t="s">
        <v>114</v>
      </c>
      <c r="F252" t="s">
        <v>115</v>
      </c>
      <c r="G252" t="s">
        <v>116</v>
      </c>
      <c r="H252">
        <v>99999</v>
      </c>
      <c r="I252" t="s">
        <v>30</v>
      </c>
      <c r="J252" t="s">
        <v>94</v>
      </c>
      <c r="K252" t="s">
        <v>95</v>
      </c>
      <c r="M252" t="s">
        <v>62</v>
      </c>
      <c r="N252" t="s">
        <v>117</v>
      </c>
      <c r="O252" t="s">
        <v>114</v>
      </c>
      <c r="P252" t="s">
        <v>115</v>
      </c>
      <c r="Q252" t="s">
        <v>116</v>
      </c>
      <c r="R252">
        <v>99999</v>
      </c>
      <c r="S252" t="s">
        <v>30</v>
      </c>
      <c r="U252" t="s">
        <v>38</v>
      </c>
      <c r="V252" t="s">
        <v>39</v>
      </c>
      <c r="W252" s="3">
        <v>3.5</v>
      </c>
      <c r="X252">
        <v>20</v>
      </c>
      <c r="Y252" s="4">
        <v>70</v>
      </c>
      <c r="Z252" s="3">
        <v>6.93</v>
      </c>
    </row>
    <row r="253" spans="1:26" hidden="1" x14ac:dyDescent="0.4">
      <c r="A253">
        <v>1291</v>
      </c>
      <c r="B253" s="2">
        <v>41923</v>
      </c>
      <c r="C253">
        <v>11</v>
      </c>
      <c r="D253" t="s">
        <v>113</v>
      </c>
      <c r="E253" t="s">
        <v>114</v>
      </c>
      <c r="F253" t="s">
        <v>115</v>
      </c>
      <c r="G253" t="s">
        <v>116</v>
      </c>
      <c r="H253">
        <v>99999</v>
      </c>
      <c r="I253" t="s">
        <v>30</v>
      </c>
      <c r="J253" t="s">
        <v>94</v>
      </c>
      <c r="K253" t="s">
        <v>95</v>
      </c>
      <c r="M253" t="s">
        <v>62</v>
      </c>
      <c r="N253" t="s">
        <v>117</v>
      </c>
      <c r="O253" t="s">
        <v>114</v>
      </c>
      <c r="P253" t="s">
        <v>115</v>
      </c>
      <c r="Q253" t="s">
        <v>116</v>
      </c>
      <c r="R253">
        <v>99999</v>
      </c>
      <c r="S253" t="s">
        <v>30</v>
      </c>
      <c r="U253" t="s">
        <v>103</v>
      </c>
      <c r="V253" t="s">
        <v>37</v>
      </c>
      <c r="W253" s="3">
        <v>2.99</v>
      </c>
      <c r="X253">
        <v>49</v>
      </c>
      <c r="Y253" s="4">
        <v>146.51000000000002</v>
      </c>
      <c r="Z253" s="3">
        <v>14.651000000000003</v>
      </c>
    </row>
    <row r="254" spans="1:26" hidden="1" x14ac:dyDescent="0.4">
      <c r="A254">
        <v>1292</v>
      </c>
      <c r="B254" s="2">
        <v>41913</v>
      </c>
      <c r="C254">
        <v>1</v>
      </c>
      <c r="D254" t="s">
        <v>118</v>
      </c>
      <c r="E254" t="s">
        <v>119</v>
      </c>
      <c r="F254" t="s">
        <v>120</v>
      </c>
      <c r="G254" t="s">
        <v>121</v>
      </c>
      <c r="H254">
        <v>99999</v>
      </c>
      <c r="I254" t="s">
        <v>30</v>
      </c>
      <c r="J254" t="s">
        <v>60</v>
      </c>
      <c r="K254" t="s">
        <v>61</v>
      </c>
      <c r="N254" t="s">
        <v>122</v>
      </c>
      <c r="O254" t="s">
        <v>119</v>
      </c>
      <c r="P254" t="s">
        <v>120</v>
      </c>
      <c r="Q254" t="s">
        <v>121</v>
      </c>
      <c r="R254">
        <v>99999</v>
      </c>
      <c r="S254" t="s">
        <v>30</v>
      </c>
      <c r="U254" t="s">
        <v>54</v>
      </c>
      <c r="V254" t="s">
        <v>37</v>
      </c>
      <c r="W254" s="3">
        <v>18</v>
      </c>
      <c r="X254">
        <v>22</v>
      </c>
      <c r="Y254" s="4">
        <v>396</v>
      </c>
      <c r="Z254" s="3">
        <v>38.015999999999998</v>
      </c>
    </row>
    <row r="255" spans="1:26" hidden="1" x14ac:dyDescent="0.4">
      <c r="A255">
        <v>1293</v>
      </c>
      <c r="B255" s="2">
        <v>41913</v>
      </c>
      <c r="C255">
        <v>1</v>
      </c>
      <c r="D255" t="s">
        <v>118</v>
      </c>
      <c r="E255" t="s">
        <v>119</v>
      </c>
      <c r="F255" t="s">
        <v>120</v>
      </c>
      <c r="G255" t="s">
        <v>121</v>
      </c>
      <c r="H255">
        <v>99999</v>
      </c>
      <c r="I255" t="s">
        <v>30</v>
      </c>
      <c r="J255" t="s">
        <v>60</v>
      </c>
      <c r="K255" t="s">
        <v>61</v>
      </c>
      <c r="N255" t="s">
        <v>122</v>
      </c>
      <c r="O255" t="s">
        <v>119</v>
      </c>
      <c r="P255" t="s">
        <v>120</v>
      </c>
      <c r="Q255" t="s">
        <v>121</v>
      </c>
      <c r="R255">
        <v>99999</v>
      </c>
      <c r="S255" t="s">
        <v>30</v>
      </c>
      <c r="U255" t="s">
        <v>55</v>
      </c>
      <c r="V255" t="s">
        <v>37</v>
      </c>
      <c r="W255" s="3">
        <v>46</v>
      </c>
      <c r="X255">
        <v>73</v>
      </c>
      <c r="Y255" s="4">
        <v>3358</v>
      </c>
      <c r="Z255" s="3">
        <v>339.15800000000002</v>
      </c>
    </row>
    <row r="256" spans="1:26" hidden="1" x14ac:dyDescent="0.4">
      <c r="A256">
        <v>1294</v>
      </c>
      <c r="B256" s="2">
        <v>41913</v>
      </c>
      <c r="C256">
        <v>1</v>
      </c>
      <c r="D256" t="s">
        <v>118</v>
      </c>
      <c r="E256" t="s">
        <v>119</v>
      </c>
      <c r="F256" t="s">
        <v>120</v>
      </c>
      <c r="G256" t="s">
        <v>121</v>
      </c>
      <c r="H256">
        <v>99999</v>
      </c>
      <c r="I256" t="s">
        <v>30</v>
      </c>
      <c r="J256" t="s">
        <v>60</v>
      </c>
      <c r="K256" t="s">
        <v>61</v>
      </c>
      <c r="N256" t="s">
        <v>122</v>
      </c>
      <c r="O256" t="s">
        <v>119</v>
      </c>
      <c r="P256" t="s">
        <v>120</v>
      </c>
      <c r="Q256" t="s">
        <v>121</v>
      </c>
      <c r="R256">
        <v>99999</v>
      </c>
      <c r="S256" t="s">
        <v>30</v>
      </c>
      <c r="U256" t="s">
        <v>103</v>
      </c>
      <c r="V256" t="s">
        <v>37</v>
      </c>
      <c r="W256" s="3">
        <v>2.99</v>
      </c>
      <c r="X256">
        <v>85</v>
      </c>
      <c r="Y256" s="4">
        <v>254.15</v>
      </c>
      <c r="Z256" s="3">
        <v>24.652550000000002</v>
      </c>
    </row>
    <row r="257" spans="1:26" x14ac:dyDescent="0.4">
      <c r="A257">
        <v>1295</v>
      </c>
      <c r="B257" s="2">
        <v>41940</v>
      </c>
      <c r="C257">
        <v>28</v>
      </c>
      <c r="D257" t="s">
        <v>90</v>
      </c>
      <c r="E257" t="s">
        <v>91</v>
      </c>
      <c r="F257" t="s">
        <v>92</v>
      </c>
      <c r="G257" t="s">
        <v>93</v>
      </c>
      <c r="H257">
        <v>99999</v>
      </c>
      <c r="I257" t="s">
        <v>30</v>
      </c>
      <c r="J257" t="s">
        <v>94</v>
      </c>
      <c r="K257" t="s">
        <v>95</v>
      </c>
      <c r="L257" s="2">
        <v>41942</v>
      </c>
      <c r="M257" t="s">
        <v>62</v>
      </c>
      <c r="N257" t="s">
        <v>96</v>
      </c>
      <c r="O257" t="s">
        <v>91</v>
      </c>
      <c r="P257" t="s">
        <v>92</v>
      </c>
      <c r="Q257" t="s">
        <v>93</v>
      </c>
      <c r="R257">
        <v>99999</v>
      </c>
      <c r="S257" t="s">
        <v>30</v>
      </c>
      <c r="T257" t="s">
        <v>48</v>
      </c>
      <c r="U257" t="s">
        <v>80</v>
      </c>
      <c r="V257" t="s">
        <v>81</v>
      </c>
      <c r="W257" s="3">
        <v>9.65</v>
      </c>
      <c r="X257">
        <v>44</v>
      </c>
      <c r="Y257" s="4">
        <v>424.6</v>
      </c>
      <c r="Z257" s="3">
        <v>44.158400000000007</v>
      </c>
    </row>
    <row r="258" spans="1:26" x14ac:dyDescent="0.4">
      <c r="A258">
        <v>1296</v>
      </c>
      <c r="B258" s="2">
        <v>41940</v>
      </c>
      <c r="C258">
        <v>28</v>
      </c>
      <c r="D258" t="s">
        <v>90</v>
      </c>
      <c r="E258" t="s">
        <v>91</v>
      </c>
      <c r="F258" t="s">
        <v>92</v>
      </c>
      <c r="G258" t="s">
        <v>93</v>
      </c>
      <c r="H258">
        <v>99999</v>
      </c>
      <c r="I258" t="s">
        <v>30</v>
      </c>
      <c r="J258" t="s">
        <v>94</v>
      </c>
      <c r="K258" t="s">
        <v>95</v>
      </c>
      <c r="L258" s="2">
        <v>41942</v>
      </c>
      <c r="M258" t="s">
        <v>62</v>
      </c>
      <c r="N258" t="s">
        <v>96</v>
      </c>
      <c r="O258" t="s">
        <v>91</v>
      </c>
      <c r="P258" t="s">
        <v>92</v>
      </c>
      <c r="Q258" t="s">
        <v>93</v>
      </c>
      <c r="R258">
        <v>99999</v>
      </c>
      <c r="S258" t="s">
        <v>30</v>
      </c>
      <c r="T258" t="s">
        <v>48</v>
      </c>
      <c r="U258" t="s">
        <v>123</v>
      </c>
      <c r="V258" t="s">
        <v>124</v>
      </c>
      <c r="W258" s="3">
        <v>18.399999999999999</v>
      </c>
      <c r="X258">
        <v>24</v>
      </c>
      <c r="Y258" s="4">
        <v>441.59999999999997</v>
      </c>
      <c r="Z258" s="3">
        <v>42.835199999999993</v>
      </c>
    </row>
    <row r="259" spans="1:26" x14ac:dyDescent="0.4">
      <c r="A259">
        <v>1297</v>
      </c>
      <c r="B259" s="2">
        <v>41921</v>
      </c>
      <c r="C259">
        <v>9</v>
      </c>
      <c r="D259" t="s">
        <v>125</v>
      </c>
      <c r="E259" t="s">
        <v>126</v>
      </c>
      <c r="F259" t="s">
        <v>127</v>
      </c>
      <c r="G259" t="s">
        <v>128</v>
      </c>
      <c r="H259">
        <v>99999</v>
      </c>
      <c r="I259" t="s">
        <v>30</v>
      </c>
      <c r="J259" t="s">
        <v>129</v>
      </c>
      <c r="K259" t="s">
        <v>32</v>
      </c>
      <c r="L259" s="2">
        <v>41923</v>
      </c>
      <c r="M259" t="s">
        <v>46</v>
      </c>
      <c r="N259" t="s">
        <v>130</v>
      </c>
      <c r="O259" t="s">
        <v>126</v>
      </c>
      <c r="P259" t="s">
        <v>127</v>
      </c>
      <c r="Q259" t="s">
        <v>128</v>
      </c>
      <c r="R259">
        <v>99999</v>
      </c>
      <c r="S259" t="s">
        <v>30</v>
      </c>
      <c r="T259" t="s">
        <v>35</v>
      </c>
      <c r="U259" t="s">
        <v>131</v>
      </c>
      <c r="V259" t="s">
        <v>132</v>
      </c>
      <c r="W259" s="3">
        <v>19.5</v>
      </c>
      <c r="X259">
        <v>64</v>
      </c>
      <c r="Y259" s="4">
        <v>1248</v>
      </c>
      <c r="Z259" s="3">
        <v>119.80800000000001</v>
      </c>
    </row>
    <row r="260" spans="1:26" x14ac:dyDescent="0.4">
      <c r="A260">
        <v>1298</v>
      </c>
      <c r="B260" s="2">
        <v>41921</v>
      </c>
      <c r="C260">
        <v>9</v>
      </c>
      <c r="D260" t="s">
        <v>125</v>
      </c>
      <c r="E260" t="s">
        <v>126</v>
      </c>
      <c r="F260" t="s">
        <v>127</v>
      </c>
      <c r="G260" t="s">
        <v>128</v>
      </c>
      <c r="H260">
        <v>99999</v>
      </c>
      <c r="I260" t="s">
        <v>30</v>
      </c>
      <c r="J260" t="s">
        <v>129</v>
      </c>
      <c r="K260" t="s">
        <v>32</v>
      </c>
      <c r="L260" s="2">
        <v>41923</v>
      </c>
      <c r="M260" t="s">
        <v>46</v>
      </c>
      <c r="N260" t="s">
        <v>130</v>
      </c>
      <c r="O260" t="s">
        <v>126</v>
      </c>
      <c r="P260" t="s">
        <v>127</v>
      </c>
      <c r="Q260" t="s">
        <v>128</v>
      </c>
      <c r="R260">
        <v>99999</v>
      </c>
      <c r="S260" t="s">
        <v>30</v>
      </c>
      <c r="T260" t="s">
        <v>35</v>
      </c>
      <c r="U260" t="s">
        <v>133</v>
      </c>
      <c r="V260" t="s">
        <v>134</v>
      </c>
      <c r="W260" s="3">
        <v>34.799999999999997</v>
      </c>
      <c r="X260">
        <v>70</v>
      </c>
      <c r="Y260" s="4">
        <v>2436</v>
      </c>
      <c r="Z260" s="3">
        <v>246.03600000000003</v>
      </c>
    </row>
    <row r="261" spans="1:26" x14ac:dyDescent="0.4">
      <c r="A261">
        <v>1299</v>
      </c>
      <c r="B261" s="2">
        <v>41918</v>
      </c>
      <c r="C261">
        <v>6</v>
      </c>
      <c r="D261" t="s">
        <v>82</v>
      </c>
      <c r="E261" t="s">
        <v>83</v>
      </c>
      <c r="F261" t="s">
        <v>84</v>
      </c>
      <c r="G261" t="s">
        <v>85</v>
      </c>
      <c r="H261">
        <v>99999</v>
      </c>
      <c r="I261" t="s">
        <v>30</v>
      </c>
      <c r="J261" t="s">
        <v>86</v>
      </c>
      <c r="K261" t="s">
        <v>61</v>
      </c>
      <c r="L261" s="2">
        <v>41920</v>
      </c>
      <c r="M261" t="s">
        <v>33</v>
      </c>
      <c r="N261" t="s">
        <v>87</v>
      </c>
      <c r="O261" t="s">
        <v>83</v>
      </c>
      <c r="P261" t="s">
        <v>84</v>
      </c>
      <c r="Q261" t="s">
        <v>85</v>
      </c>
      <c r="R261">
        <v>99999</v>
      </c>
      <c r="S261" t="s">
        <v>30</v>
      </c>
      <c r="T261" t="s">
        <v>48</v>
      </c>
      <c r="U261" t="s">
        <v>36</v>
      </c>
      <c r="V261" t="s">
        <v>37</v>
      </c>
      <c r="W261" s="3">
        <v>14</v>
      </c>
      <c r="X261">
        <v>98</v>
      </c>
      <c r="Y261" s="4">
        <v>1372</v>
      </c>
      <c r="Z261" s="3">
        <v>138.57200000000003</v>
      </c>
    </row>
    <row r="262" spans="1:26" x14ac:dyDescent="0.4">
      <c r="A262">
        <v>1300</v>
      </c>
      <c r="B262" s="2">
        <v>41920</v>
      </c>
      <c r="C262">
        <v>8</v>
      </c>
      <c r="D262" t="s">
        <v>56</v>
      </c>
      <c r="E262" t="s">
        <v>57</v>
      </c>
      <c r="F262" t="s">
        <v>58</v>
      </c>
      <c r="G262" t="s">
        <v>59</v>
      </c>
      <c r="H262">
        <v>99999</v>
      </c>
      <c r="I262" t="s">
        <v>30</v>
      </c>
      <c r="J262" t="s">
        <v>60</v>
      </c>
      <c r="K262" t="s">
        <v>61</v>
      </c>
      <c r="L262" s="2">
        <v>41922</v>
      </c>
      <c r="M262" t="s">
        <v>33</v>
      </c>
      <c r="N262" t="s">
        <v>63</v>
      </c>
      <c r="O262" t="s">
        <v>57</v>
      </c>
      <c r="P262" t="s">
        <v>58</v>
      </c>
      <c r="Q262" t="s">
        <v>59</v>
      </c>
      <c r="R262">
        <v>99999</v>
      </c>
      <c r="S262" t="s">
        <v>30</v>
      </c>
      <c r="T262" t="s">
        <v>35</v>
      </c>
      <c r="U262" t="s">
        <v>88</v>
      </c>
      <c r="V262" t="s">
        <v>89</v>
      </c>
      <c r="W262" s="3">
        <v>40</v>
      </c>
      <c r="X262">
        <v>48</v>
      </c>
      <c r="Y262" s="4">
        <v>1920</v>
      </c>
      <c r="Z262" s="3">
        <v>188.16</v>
      </c>
    </row>
    <row r="263" spans="1:26" x14ac:dyDescent="0.4">
      <c r="A263">
        <v>1301</v>
      </c>
      <c r="B263" s="2">
        <v>41920</v>
      </c>
      <c r="C263">
        <v>8</v>
      </c>
      <c r="D263" t="s">
        <v>56</v>
      </c>
      <c r="E263" t="s">
        <v>57</v>
      </c>
      <c r="F263" t="s">
        <v>58</v>
      </c>
      <c r="G263" t="s">
        <v>59</v>
      </c>
      <c r="H263">
        <v>99999</v>
      </c>
      <c r="I263" t="s">
        <v>30</v>
      </c>
      <c r="J263" t="s">
        <v>60</v>
      </c>
      <c r="K263" t="s">
        <v>61</v>
      </c>
      <c r="L263" s="2">
        <v>41922</v>
      </c>
      <c r="M263" t="s">
        <v>33</v>
      </c>
      <c r="N263" t="s">
        <v>63</v>
      </c>
      <c r="O263" t="s">
        <v>57</v>
      </c>
      <c r="P263" t="s">
        <v>58</v>
      </c>
      <c r="Q263" t="s">
        <v>59</v>
      </c>
      <c r="R263">
        <v>99999</v>
      </c>
      <c r="S263" t="s">
        <v>30</v>
      </c>
      <c r="T263" t="s">
        <v>35</v>
      </c>
      <c r="U263" t="s">
        <v>64</v>
      </c>
      <c r="V263" t="s">
        <v>65</v>
      </c>
      <c r="W263" s="3">
        <v>9.1999999999999993</v>
      </c>
      <c r="X263">
        <v>100</v>
      </c>
      <c r="Y263" s="4">
        <v>919.99999999999989</v>
      </c>
      <c r="Z263" s="3">
        <v>91.08</v>
      </c>
    </row>
    <row r="264" spans="1:26" x14ac:dyDescent="0.4">
      <c r="A264">
        <v>1302</v>
      </c>
      <c r="B264" s="2">
        <v>41937</v>
      </c>
      <c r="C264">
        <v>25</v>
      </c>
      <c r="D264" t="s">
        <v>137</v>
      </c>
      <c r="E264" t="s">
        <v>138</v>
      </c>
      <c r="F264" t="s">
        <v>99</v>
      </c>
      <c r="G264" t="s">
        <v>100</v>
      </c>
      <c r="H264">
        <v>99999</v>
      </c>
      <c r="I264" t="s">
        <v>30</v>
      </c>
      <c r="J264" t="s">
        <v>101</v>
      </c>
      <c r="K264" t="s">
        <v>45</v>
      </c>
      <c r="L264" s="2">
        <v>41939</v>
      </c>
      <c r="M264" t="s">
        <v>46</v>
      </c>
      <c r="N264" t="s">
        <v>139</v>
      </c>
      <c r="O264" t="s">
        <v>138</v>
      </c>
      <c r="P264" t="s">
        <v>99</v>
      </c>
      <c r="Q264" t="s">
        <v>100</v>
      </c>
      <c r="R264">
        <v>99999</v>
      </c>
      <c r="S264" t="s">
        <v>30</v>
      </c>
      <c r="T264" t="s">
        <v>79</v>
      </c>
      <c r="U264" t="s">
        <v>146</v>
      </c>
      <c r="V264" t="s">
        <v>65</v>
      </c>
      <c r="W264" s="3">
        <v>10</v>
      </c>
      <c r="X264">
        <v>90</v>
      </c>
      <c r="Y264" s="4">
        <v>900</v>
      </c>
      <c r="Z264" s="3">
        <v>87.3</v>
      </c>
    </row>
    <row r="265" spans="1:26" x14ac:dyDescent="0.4">
      <c r="A265">
        <v>1303</v>
      </c>
      <c r="B265" s="2">
        <v>41938</v>
      </c>
      <c r="C265">
        <v>26</v>
      </c>
      <c r="D265" t="s">
        <v>140</v>
      </c>
      <c r="E265" t="s">
        <v>141</v>
      </c>
      <c r="F265" t="s">
        <v>115</v>
      </c>
      <c r="G265" t="s">
        <v>116</v>
      </c>
      <c r="H265">
        <v>99999</v>
      </c>
      <c r="I265" t="s">
        <v>30</v>
      </c>
      <c r="J265" t="s">
        <v>94</v>
      </c>
      <c r="K265" t="s">
        <v>95</v>
      </c>
      <c r="L265" s="2">
        <v>41940</v>
      </c>
      <c r="M265" t="s">
        <v>62</v>
      </c>
      <c r="N265" t="s">
        <v>142</v>
      </c>
      <c r="O265" t="s">
        <v>141</v>
      </c>
      <c r="P265" t="s">
        <v>115</v>
      </c>
      <c r="Q265" t="s">
        <v>116</v>
      </c>
      <c r="R265">
        <v>99999</v>
      </c>
      <c r="S265" t="s">
        <v>30</v>
      </c>
      <c r="T265" t="s">
        <v>48</v>
      </c>
      <c r="U265" t="s">
        <v>147</v>
      </c>
      <c r="V265" t="s">
        <v>148</v>
      </c>
      <c r="W265" s="3">
        <v>21.35</v>
      </c>
      <c r="X265">
        <v>49</v>
      </c>
      <c r="Y265" s="4">
        <v>1046.1500000000001</v>
      </c>
      <c r="Z265" s="3">
        <v>102.5227</v>
      </c>
    </row>
    <row r="266" spans="1:26" x14ac:dyDescent="0.4">
      <c r="A266">
        <v>1304</v>
      </c>
      <c r="B266" s="2">
        <v>41938</v>
      </c>
      <c r="C266">
        <v>26</v>
      </c>
      <c r="D266" t="s">
        <v>140</v>
      </c>
      <c r="E266" t="s">
        <v>141</v>
      </c>
      <c r="F266" t="s">
        <v>115</v>
      </c>
      <c r="G266" t="s">
        <v>116</v>
      </c>
      <c r="H266">
        <v>99999</v>
      </c>
      <c r="I266" t="s">
        <v>30</v>
      </c>
      <c r="J266" t="s">
        <v>94</v>
      </c>
      <c r="K266" t="s">
        <v>95</v>
      </c>
      <c r="L266" s="2">
        <v>41940</v>
      </c>
      <c r="M266" t="s">
        <v>62</v>
      </c>
      <c r="N266" t="s">
        <v>142</v>
      </c>
      <c r="O266" t="s">
        <v>141</v>
      </c>
      <c r="P266" t="s">
        <v>115</v>
      </c>
      <c r="Q266" t="s">
        <v>116</v>
      </c>
      <c r="R266">
        <v>99999</v>
      </c>
      <c r="S266" t="s">
        <v>30</v>
      </c>
      <c r="T266" t="s">
        <v>48</v>
      </c>
      <c r="U266" t="s">
        <v>80</v>
      </c>
      <c r="V266" t="s">
        <v>81</v>
      </c>
      <c r="W266" s="3">
        <v>9.65</v>
      </c>
      <c r="X266">
        <v>71</v>
      </c>
      <c r="Y266" s="4">
        <v>685.15</v>
      </c>
      <c r="Z266" s="3">
        <v>65.7744</v>
      </c>
    </row>
    <row r="267" spans="1:26" x14ac:dyDescent="0.4">
      <c r="A267">
        <v>1305</v>
      </c>
      <c r="B267" s="2">
        <v>41938</v>
      </c>
      <c r="C267">
        <v>26</v>
      </c>
      <c r="D267" t="s">
        <v>140</v>
      </c>
      <c r="E267" t="s">
        <v>141</v>
      </c>
      <c r="F267" t="s">
        <v>115</v>
      </c>
      <c r="G267" t="s">
        <v>116</v>
      </c>
      <c r="H267">
        <v>99999</v>
      </c>
      <c r="I267" t="s">
        <v>30</v>
      </c>
      <c r="J267" t="s">
        <v>94</v>
      </c>
      <c r="K267" t="s">
        <v>95</v>
      </c>
      <c r="L267" s="2">
        <v>41940</v>
      </c>
      <c r="M267" t="s">
        <v>62</v>
      </c>
      <c r="N267" t="s">
        <v>142</v>
      </c>
      <c r="O267" t="s">
        <v>141</v>
      </c>
      <c r="P267" t="s">
        <v>115</v>
      </c>
      <c r="Q267" t="s">
        <v>116</v>
      </c>
      <c r="R267">
        <v>99999</v>
      </c>
      <c r="S267" t="s">
        <v>30</v>
      </c>
      <c r="T267" t="s">
        <v>48</v>
      </c>
      <c r="U267" t="s">
        <v>123</v>
      </c>
      <c r="V267" t="s">
        <v>124</v>
      </c>
      <c r="W267" s="3">
        <v>18.399999999999999</v>
      </c>
      <c r="X267">
        <v>10</v>
      </c>
      <c r="Y267" s="4">
        <v>184</v>
      </c>
      <c r="Z267" s="3">
        <v>19.136000000000003</v>
      </c>
    </row>
    <row r="268" spans="1:26" x14ac:dyDescent="0.4">
      <c r="A268">
        <v>1306</v>
      </c>
      <c r="B268" s="2">
        <v>41941</v>
      </c>
      <c r="C268">
        <v>29</v>
      </c>
      <c r="D268" t="s">
        <v>66</v>
      </c>
      <c r="E268" t="s">
        <v>67</v>
      </c>
      <c r="F268" t="s">
        <v>68</v>
      </c>
      <c r="G268" t="s">
        <v>69</v>
      </c>
      <c r="H268">
        <v>99999</v>
      </c>
      <c r="I268" t="s">
        <v>30</v>
      </c>
      <c r="J268" t="s">
        <v>70</v>
      </c>
      <c r="K268" t="s">
        <v>32</v>
      </c>
      <c r="L268" s="2">
        <v>41943</v>
      </c>
      <c r="M268" t="s">
        <v>33</v>
      </c>
      <c r="N268" t="s">
        <v>71</v>
      </c>
      <c r="O268" t="s">
        <v>67</v>
      </c>
      <c r="P268" t="s">
        <v>68</v>
      </c>
      <c r="Q268" t="s">
        <v>69</v>
      </c>
      <c r="R268">
        <v>99999</v>
      </c>
      <c r="S268" t="s">
        <v>30</v>
      </c>
      <c r="T268" t="s">
        <v>35</v>
      </c>
      <c r="U268" t="s">
        <v>36</v>
      </c>
      <c r="V268" t="s">
        <v>37</v>
      </c>
      <c r="W268" s="3">
        <v>14</v>
      </c>
      <c r="X268">
        <v>78</v>
      </c>
      <c r="Y268" s="4">
        <v>1092</v>
      </c>
      <c r="Z268" s="3">
        <v>112.476</v>
      </c>
    </row>
    <row r="269" spans="1:26" x14ac:dyDescent="0.4">
      <c r="A269">
        <v>1307</v>
      </c>
      <c r="B269" s="2">
        <v>41918</v>
      </c>
      <c r="C269">
        <v>6</v>
      </c>
      <c r="D269" t="s">
        <v>82</v>
      </c>
      <c r="E269" t="s">
        <v>83</v>
      </c>
      <c r="F269" t="s">
        <v>84</v>
      </c>
      <c r="G269" t="s">
        <v>85</v>
      </c>
      <c r="H269">
        <v>99999</v>
      </c>
      <c r="I269" t="s">
        <v>30</v>
      </c>
      <c r="J269" t="s">
        <v>86</v>
      </c>
      <c r="K269" t="s">
        <v>61</v>
      </c>
      <c r="L269" s="2">
        <v>41920</v>
      </c>
      <c r="M269" t="s">
        <v>62</v>
      </c>
      <c r="N269" t="s">
        <v>87</v>
      </c>
      <c r="O269" t="s">
        <v>83</v>
      </c>
      <c r="P269" t="s">
        <v>84</v>
      </c>
      <c r="Q269" t="s">
        <v>85</v>
      </c>
      <c r="R269">
        <v>99999</v>
      </c>
      <c r="S269" t="s">
        <v>30</v>
      </c>
      <c r="T269" t="s">
        <v>35</v>
      </c>
      <c r="U269" t="s">
        <v>72</v>
      </c>
      <c r="V269" t="s">
        <v>73</v>
      </c>
      <c r="W269" s="3">
        <v>12.75</v>
      </c>
      <c r="X269">
        <v>44</v>
      </c>
      <c r="Y269" s="4">
        <v>561</v>
      </c>
      <c r="Z269" s="3">
        <v>53.856000000000002</v>
      </c>
    </row>
    <row r="270" spans="1:26" x14ac:dyDescent="0.4">
      <c r="A270">
        <v>1309</v>
      </c>
      <c r="B270" s="2">
        <v>41916</v>
      </c>
      <c r="C270">
        <v>4</v>
      </c>
      <c r="D270" t="s">
        <v>40</v>
      </c>
      <c r="E270" t="s">
        <v>41</v>
      </c>
      <c r="F270" t="s">
        <v>42</v>
      </c>
      <c r="G270" t="s">
        <v>43</v>
      </c>
      <c r="H270">
        <v>99999</v>
      </c>
      <c r="I270" t="s">
        <v>30</v>
      </c>
      <c r="J270" t="s">
        <v>44</v>
      </c>
      <c r="K270" t="s">
        <v>45</v>
      </c>
      <c r="L270" s="2">
        <v>41918</v>
      </c>
      <c r="M270" t="s">
        <v>46</v>
      </c>
      <c r="N270" t="s">
        <v>47</v>
      </c>
      <c r="O270" t="s">
        <v>41</v>
      </c>
      <c r="P270" t="s">
        <v>42</v>
      </c>
      <c r="Q270" t="s">
        <v>43</v>
      </c>
      <c r="R270">
        <v>99999</v>
      </c>
      <c r="S270" t="s">
        <v>30</v>
      </c>
      <c r="T270" t="s">
        <v>48</v>
      </c>
      <c r="U270" t="s">
        <v>149</v>
      </c>
      <c r="V270" t="s">
        <v>110</v>
      </c>
      <c r="W270">
        <v>81</v>
      </c>
      <c r="X270">
        <v>82</v>
      </c>
      <c r="Y270" s="4">
        <v>6642</v>
      </c>
      <c r="Z270" s="3">
        <v>697.41000000000008</v>
      </c>
    </row>
    <row r="271" spans="1:26" x14ac:dyDescent="0.4">
      <c r="A271">
        <v>1310</v>
      </c>
      <c r="B271" s="2">
        <v>41916</v>
      </c>
      <c r="C271">
        <v>4</v>
      </c>
      <c r="D271" t="s">
        <v>40</v>
      </c>
      <c r="E271" t="s">
        <v>41</v>
      </c>
      <c r="F271" t="s">
        <v>42</v>
      </c>
      <c r="G271" t="s">
        <v>43</v>
      </c>
      <c r="H271">
        <v>99999</v>
      </c>
      <c r="I271" t="s">
        <v>30</v>
      </c>
      <c r="J271" t="s">
        <v>44</v>
      </c>
      <c r="K271" t="s">
        <v>45</v>
      </c>
      <c r="L271" s="2">
        <v>41918</v>
      </c>
      <c r="M271" t="s">
        <v>46</v>
      </c>
      <c r="N271" t="s">
        <v>47</v>
      </c>
      <c r="O271" t="s">
        <v>41</v>
      </c>
      <c r="P271" t="s">
        <v>42</v>
      </c>
      <c r="Q271" t="s">
        <v>43</v>
      </c>
      <c r="R271">
        <v>99999</v>
      </c>
      <c r="S271" t="s">
        <v>30</v>
      </c>
      <c r="T271" t="s">
        <v>48</v>
      </c>
      <c r="U271" t="s">
        <v>150</v>
      </c>
      <c r="V271" t="s">
        <v>151</v>
      </c>
      <c r="W271">
        <v>7</v>
      </c>
      <c r="X271">
        <v>29</v>
      </c>
      <c r="Y271" s="4">
        <v>203</v>
      </c>
      <c r="Z271" s="3">
        <v>20.3</v>
      </c>
    </row>
    <row r="272" spans="1:26" x14ac:dyDescent="0.4">
      <c r="A272">
        <v>1312</v>
      </c>
      <c r="B272" s="2">
        <v>41920</v>
      </c>
      <c r="C272">
        <v>8</v>
      </c>
      <c r="D272" t="s">
        <v>56</v>
      </c>
      <c r="E272" t="s">
        <v>57</v>
      </c>
      <c r="F272" t="s">
        <v>58</v>
      </c>
      <c r="G272" t="s">
        <v>59</v>
      </c>
      <c r="H272">
        <v>99999</v>
      </c>
      <c r="I272" t="s">
        <v>30</v>
      </c>
      <c r="J272" t="s">
        <v>60</v>
      </c>
      <c r="K272" t="s">
        <v>61</v>
      </c>
      <c r="L272" s="2">
        <v>41922</v>
      </c>
      <c r="M272" t="s">
        <v>62</v>
      </c>
      <c r="N272" t="s">
        <v>63</v>
      </c>
      <c r="O272" t="s">
        <v>57</v>
      </c>
      <c r="P272" t="s">
        <v>58</v>
      </c>
      <c r="Q272" t="s">
        <v>59</v>
      </c>
      <c r="R272">
        <v>99999</v>
      </c>
      <c r="S272" t="s">
        <v>30</v>
      </c>
      <c r="T272" t="s">
        <v>48</v>
      </c>
      <c r="U272" t="s">
        <v>133</v>
      </c>
      <c r="V272" t="s">
        <v>134</v>
      </c>
      <c r="W272">
        <v>34.799999999999997</v>
      </c>
      <c r="X272">
        <v>93</v>
      </c>
      <c r="Y272" s="4">
        <v>3236.3999999999996</v>
      </c>
      <c r="Z272" s="3">
        <v>313.93079999999998</v>
      </c>
    </row>
    <row r="273" spans="1:26" x14ac:dyDescent="0.4">
      <c r="A273">
        <v>1315</v>
      </c>
      <c r="B273" s="2">
        <v>41915</v>
      </c>
      <c r="C273">
        <v>3</v>
      </c>
      <c r="D273" t="s">
        <v>74</v>
      </c>
      <c r="E273" t="s">
        <v>75</v>
      </c>
      <c r="F273" t="s">
        <v>76</v>
      </c>
      <c r="G273" t="s">
        <v>77</v>
      </c>
      <c r="H273">
        <v>99999</v>
      </c>
      <c r="I273" t="s">
        <v>30</v>
      </c>
      <c r="J273" t="s">
        <v>31</v>
      </c>
      <c r="K273" t="s">
        <v>32</v>
      </c>
      <c r="L273" s="2">
        <v>41917</v>
      </c>
      <c r="M273" t="s">
        <v>33</v>
      </c>
      <c r="N273" t="s">
        <v>78</v>
      </c>
      <c r="O273" t="s">
        <v>75</v>
      </c>
      <c r="P273" t="s">
        <v>76</v>
      </c>
      <c r="Q273" t="s">
        <v>77</v>
      </c>
      <c r="R273">
        <v>99999</v>
      </c>
      <c r="S273" t="s">
        <v>30</v>
      </c>
      <c r="T273" t="s">
        <v>79</v>
      </c>
      <c r="U273" t="s">
        <v>135</v>
      </c>
      <c r="V273" t="s">
        <v>112</v>
      </c>
      <c r="W273">
        <v>10</v>
      </c>
      <c r="X273">
        <v>11</v>
      </c>
      <c r="Y273" s="4">
        <v>110</v>
      </c>
      <c r="Z273" s="3">
        <v>11.440000000000001</v>
      </c>
    </row>
    <row r="274" spans="1:26" x14ac:dyDescent="0.4">
      <c r="A274">
        <v>1316</v>
      </c>
      <c r="B274" s="2">
        <v>41915</v>
      </c>
      <c r="C274">
        <v>3</v>
      </c>
      <c r="D274" t="s">
        <v>74</v>
      </c>
      <c r="E274" t="s">
        <v>75</v>
      </c>
      <c r="F274" t="s">
        <v>76</v>
      </c>
      <c r="G274" t="s">
        <v>77</v>
      </c>
      <c r="H274">
        <v>99999</v>
      </c>
      <c r="I274" t="s">
        <v>30</v>
      </c>
      <c r="J274" t="s">
        <v>31</v>
      </c>
      <c r="K274" t="s">
        <v>32</v>
      </c>
      <c r="L274" s="2">
        <v>41917</v>
      </c>
      <c r="M274" t="s">
        <v>33</v>
      </c>
      <c r="N274" t="s">
        <v>78</v>
      </c>
      <c r="O274" t="s">
        <v>75</v>
      </c>
      <c r="P274" t="s">
        <v>76</v>
      </c>
      <c r="Q274" t="s">
        <v>77</v>
      </c>
      <c r="R274">
        <v>99999</v>
      </c>
      <c r="S274" t="s">
        <v>30</v>
      </c>
      <c r="T274" t="s">
        <v>79</v>
      </c>
      <c r="U274" t="s">
        <v>88</v>
      </c>
      <c r="V274" t="s">
        <v>89</v>
      </c>
      <c r="W274">
        <v>40</v>
      </c>
      <c r="X274">
        <v>91</v>
      </c>
      <c r="Y274" s="4">
        <v>3640</v>
      </c>
      <c r="Z274" s="3">
        <v>364</v>
      </c>
    </row>
    <row r="275" spans="1:26" x14ac:dyDescent="0.4">
      <c r="A275">
        <v>1320</v>
      </c>
      <c r="B275" s="2">
        <v>41922</v>
      </c>
      <c r="C275">
        <v>10</v>
      </c>
      <c r="D275" t="s">
        <v>97</v>
      </c>
      <c r="E275" t="s">
        <v>98</v>
      </c>
      <c r="F275" t="s">
        <v>99</v>
      </c>
      <c r="G275" t="s">
        <v>100</v>
      </c>
      <c r="H275">
        <v>99999</v>
      </c>
      <c r="I275" t="s">
        <v>30</v>
      </c>
      <c r="J275" t="s">
        <v>101</v>
      </c>
      <c r="K275" t="s">
        <v>45</v>
      </c>
      <c r="L275" s="2">
        <v>41924</v>
      </c>
      <c r="M275" t="s">
        <v>33</v>
      </c>
      <c r="N275" t="s">
        <v>102</v>
      </c>
      <c r="O275" t="s">
        <v>98</v>
      </c>
      <c r="P275" t="s">
        <v>99</v>
      </c>
      <c r="Q275" t="s">
        <v>100</v>
      </c>
      <c r="R275">
        <v>99999</v>
      </c>
      <c r="S275" t="s">
        <v>30</v>
      </c>
      <c r="T275" t="s">
        <v>48</v>
      </c>
      <c r="U275" t="s">
        <v>136</v>
      </c>
      <c r="V275" t="s">
        <v>39</v>
      </c>
      <c r="W275">
        <v>10</v>
      </c>
      <c r="X275">
        <v>12</v>
      </c>
      <c r="Y275" s="4">
        <v>120</v>
      </c>
      <c r="Z275" s="3">
        <v>12.36</v>
      </c>
    </row>
    <row r="276" spans="1:26" hidden="1" x14ac:dyDescent="0.4">
      <c r="A276">
        <v>1322</v>
      </c>
      <c r="B276" s="2">
        <v>41922</v>
      </c>
      <c r="C276">
        <v>10</v>
      </c>
      <c r="D276" t="s">
        <v>97</v>
      </c>
      <c r="E276" t="s">
        <v>98</v>
      </c>
      <c r="F276" t="s">
        <v>99</v>
      </c>
      <c r="G276" t="s">
        <v>100</v>
      </c>
      <c r="H276">
        <v>99999</v>
      </c>
      <c r="I276" t="s">
        <v>30</v>
      </c>
      <c r="J276" t="s">
        <v>101</v>
      </c>
      <c r="K276" t="s">
        <v>45</v>
      </c>
      <c r="L276" s="2"/>
      <c r="M276" t="s">
        <v>46</v>
      </c>
      <c r="N276" t="s">
        <v>102</v>
      </c>
      <c r="O276" t="s">
        <v>98</v>
      </c>
      <c r="P276" t="s">
        <v>99</v>
      </c>
      <c r="Q276" t="s">
        <v>100</v>
      </c>
      <c r="R276">
        <v>99999</v>
      </c>
      <c r="S276" t="s">
        <v>30</v>
      </c>
      <c r="U276" t="s">
        <v>38</v>
      </c>
      <c r="V276" t="s">
        <v>39</v>
      </c>
      <c r="W276">
        <v>3.5</v>
      </c>
      <c r="X276">
        <v>78</v>
      </c>
      <c r="Y276" s="4">
        <v>273</v>
      </c>
      <c r="Z276" s="3">
        <v>27.3</v>
      </c>
    </row>
    <row r="277" spans="1:26" hidden="1" x14ac:dyDescent="0.4">
      <c r="A277">
        <v>1323</v>
      </c>
      <c r="B277" s="2">
        <v>41923</v>
      </c>
      <c r="C277">
        <v>11</v>
      </c>
      <c r="D277" t="s">
        <v>113</v>
      </c>
      <c r="E277" t="s">
        <v>114</v>
      </c>
      <c r="F277" t="s">
        <v>115</v>
      </c>
      <c r="G277" t="s">
        <v>116</v>
      </c>
      <c r="H277">
        <v>99999</v>
      </c>
      <c r="I277" t="s">
        <v>30</v>
      </c>
      <c r="J277" t="s">
        <v>94</v>
      </c>
      <c r="K277" t="s">
        <v>95</v>
      </c>
      <c r="L277" s="2"/>
      <c r="M277" t="s">
        <v>62</v>
      </c>
      <c r="N277" t="s">
        <v>117</v>
      </c>
      <c r="O277" t="s">
        <v>114</v>
      </c>
      <c r="P277" t="s">
        <v>115</v>
      </c>
      <c r="Q277" t="s">
        <v>116</v>
      </c>
      <c r="R277">
        <v>99999</v>
      </c>
      <c r="S277" t="s">
        <v>30</v>
      </c>
      <c r="U277" t="s">
        <v>88</v>
      </c>
      <c r="V277" t="s">
        <v>89</v>
      </c>
      <c r="W277">
        <v>40</v>
      </c>
      <c r="X277">
        <v>60</v>
      </c>
      <c r="Y277" s="4">
        <v>2400</v>
      </c>
      <c r="Z277" s="3">
        <v>228</v>
      </c>
    </row>
    <row r="278" spans="1:26" hidden="1" x14ac:dyDescent="0.4">
      <c r="A278">
        <v>1324</v>
      </c>
      <c r="B278" s="2">
        <v>41913</v>
      </c>
      <c r="C278">
        <v>1</v>
      </c>
      <c r="D278" t="s">
        <v>118</v>
      </c>
      <c r="E278" t="s">
        <v>119</v>
      </c>
      <c r="F278" t="s">
        <v>120</v>
      </c>
      <c r="G278" t="s">
        <v>121</v>
      </c>
      <c r="H278">
        <v>99999</v>
      </c>
      <c r="I278" t="s">
        <v>30</v>
      </c>
      <c r="J278" t="s">
        <v>60</v>
      </c>
      <c r="K278" t="s">
        <v>61</v>
      </c>
      <c r="L278" s="2"/>
      <c r="M278" t="s">
        <v>62</v>
      </c>
      <c r="N278" t="s">
        <v>122</v>
      </c>
      <c r="O278" t="s">
        <v>119</v>
      </c>
      <c r="P278" t="s">
        <v>120</v>
      </c>
      <c r="Q278" t="s">
        <v>121</v>
      </c>
      <c r="R278">
        <v>99999</v>
      </c>
      <c r="S278" t="s">
        <v>30</v>
      </c>
      <c r="U278" t="s">
        <v>123</v>
      </c>
      <c r="V278" t="s">
        <v>124</v>
      </c>
      <c r="W278">
        <v>18.399999999999999</v>
      </c>
      <c r="X278">
        <v>23</v>
      </c>
      <c r="Y278" s="4">
        <v>423.2</v>
      </c>
      <c r="Z278" s="3">
        <v>43.589600000000004</v>
      </c>
    </row>
    <row r="279" spans="1:26" x14ac:dyDescent="0.4">
      <c r="A279">
        <v>1325</v>
      </c>
      <c r="B279" s="2">
        <v>41940</v>
      </c>
      <c r="C279">
        <v>28</v>
      </c>
      <c r="D279" t="s">
        <v>90</v>
      </c>
      <c r="E279" t="s">
        <v>91</v>
      </c>
      <c r="F279" t="s">
        <v>92</v>
      </c>
      <c r="G279" t="s">
        <v>93</v>
      </c>
      <c r="H279">
        <v>99999</v>
      </c>
      <c r="I279" t="s">
        <v>30</v>
      </c>
      <c r="J279" t="s">
        <v>94</v>
      </c>
      <c r="K279" t="s">
        <v>95</v>
      </c>
      <c r="L279" s="2">
        <v>41942</v>
      </c>
      <c r="M279" t="s">
        <v>62</v>
      </c>
      <c r="N279" t="s">
        <v>96</v>
      </c>
      <c r="O279" t="s">
        <v>91</v>
      </c>
      <c r="P279" t="s">
        <v>92</v>
      </c>
      <c r="Q279" t="s">
        <v>93</v>
      </c>
      <c r="R279">
        <v>99999</v>
      </c>
      <c r="S279" t="s">
        <v>30</v>
      </c>
      <c r="T279" t="s">
        <v>48</v>
      </c>
      <c r="U279" t="s">
        <v>55</v>
      </c>
      <c r="V279" t="s">
        <v>37</v>
      </c>
      <c r="W279">
        <v>46</v>
      </c>
      <c r="X279">
        <v>34</v>
      </c>
      <c r="Y279" s="4">
        <v>1564</v>
      </c>
      <c r="Z279" s="3">
        <v>157.964</v>
      </c>
    </row>
    <row r="280" spans="1:26" x14ac:dyDescent="0.4">
      <c r="A280">
        <v>1326</v>
      </c>
      <c r="B280" s="2">
        <v>41921</v>
      </c>
      <c r="C280">
        <v>9</v>
      </c>
      <c r="D280" t="s">
        <v>125</v>
      </c>
      <c r="E280" t="s">
        <v>126</v>
      </c>
      <c r="F280" t="s">
        <v>127</v>
      </c>
      <c r="G280" t="s">
        <v>128</v>
      </c>
      <c r="H280">
        <v>99999</v>
      </c>
      <c r="I280" t="s">
        <v>30</v>
      </c>
      <c r="J280" t="s">
        <v>129</v>
      </c>
      <c r="K280" t="s">
        <v>32</v>
      </c>
      <c r="L280" s="2">
        <v>41923</v>
      </c>
      <c r="M280" t="s">
        <v>46</v>
      </c>
      <c r="N280" t="s">
        <v>130</v>
      </c>
      <c r="O280" t="s">
        <v>126</v>
      </c>
      <c r="P280" t="s">
        <v>127</v>
      </c>
      <c r="Q280" t="s">
        <v>128</v>
      </c>
      <c r="R280">
        <v>99999</v>
      </c>
      <c r="S280" t="s">
        <v>30</v>
      </c>
      <c r="T280" t="s">
        <v>35</v>
      </c>
      <c r="U280" t="s">
        <v>80</v>
      </c>
      <c r="V280" t="s">
        <v>81</v>
      </c>
      <c r="W280">
        <v>9.65</v>
      </c>
      <c r="X280">
        <v>89</v>
      </c>
      <c r="Y280" s="4">
        <v>858.85</v>
      </c>
      <c r="Z280" s="3">
        <v>86.743850000000009</v>
      </c>
    </row>
    <row r="281" spans="1:26" x14ac:dyDescent="0.4">
      <c r="A281">
        <v>1327</v>
      </c>
      <c r="B281" s="2">
        <v>41918</v>
      </c>
      <c r="C281">
        <v>6</v>
      </c>
      <c r="D281" t="s">
        <v>82</v>
      </c>
      <c r="E281" t="s">
        <v>83</v>
      </c>
      <c r="F281" t="s">
        <v>84</v>
      </c>
      <c r="G281" t="s">
        <v>85</v>
      </c>
      <c r="H281">
        <v>99999</v>
      </c>
      <c r="I281" t="s">
        <v>30</v>
      </c>
      <c r="J281" t="s">
        <v>86</v>
      </c>
      <c r="K281" t="s">
        <v>61</v>
      </c>
      <c r="L281" s="2">
        <v>41920</v>
      </c>
      <c r="M281" t="s">
        <v>33</v>
      </c>
      <c r="N281" t="s">
        <v>87</v>
      </c>
      <c r="O281" t="s">
        <v>83</v>
      </c>
      <c r="P281" t="s">
        <v>84</v>
      </c>
      <c r="Q281" t="s">
        <v>85</v>
      </c>
      <c r="R281">
        <v>99999</v>
      </c>
      <c r="S281" t="s">
        <v>30</v>
      </c>
      <c r="T281" t="s">
        <v>48</v>
      </c>
      <c r="U281" t="s">
        <v>72</v>
      </c>
      <c r="V281" t="s">
        <v>73</v>
      </c>
      <c r="W281">
        <v>12.75</v>
      </c>
      <c r="X281">
        <v>82</v>
      </c>
      <c r="Y281" s="4">
        <v>1045.5</v>
      </c>
      <c r="Z281" s="3">
        <v>103.50450000000001</v>
      </c>
    </row>
    <row r="282" spans="1:26" x14ac:dyDescent="0.4">
      <c r="A282">
        <v>1328</v>
      </c>
      <c r="B282" s="2">
        <v>41920</v>
      </c>
      <c r="C282">
        <v>8</v>
      </c>
      <c r="D282" t="s">
        <v>56</v>
      </c>
      <c r="E282" t="s">
        <v>57</v>
      </c>
      <c r="F282" t="s">
        <v>58</v>
      </c>
      <c r="G282" t="s">
        <v>59</v>
      </c>
      <c r="H282">
        <v>99999</v>
      </c>
      <c r="I282" t="s">
        <v>30</v>
      </c>
      <c r="J282" t="s">
        <v>60</v>
      </c>
      <c r="K282" t="s">
        <v>61</v>
      </c>
      <c r="L282" s="2">
        <v>41922</v>
      </c>
      <c r="M282" t="s">
        <v>33</v>
      </c>
      <c r="N282" t="s">
        <v>63</v>
      </c>
      <c r="O282" t="s">
        <v>57</v>
      </c>
      <c r="P282" t="s">
        <v>58</v>
      </c>
      <c r="Q282" t="s">
        <v>59</v>
      </c>
      <c r="R282">
        <v>99999</v>
      </c>
      <c r="S282" t="s">
        <v>30</v>
      </c>
      <c r="T282" t="s">
        <v>35</v>
      </c>
      <c r="U282" t="s">
        <v>72</v>
      </c>
      <c r="V282" t="s">
        <v>73</v>
      </c>
      <c r="W282">
        <v>12.75</v>
      </c>
      <c r="X282">
        <v>43</v>
      </c>
      <c r="Y282" s="4">
        <v>548.25</v>
      </c>
      <c r="Z282" s="3">
        <v>52.631999999999998</v>
      </c>
    </row>
    <row r="283" spans="1:26" hidden="1" x14ac:dyDescent="0.4">
      <c r="A283">
        <v>1329</v>
      </c>
      <c r="B283" s="2">
        <v>41953</v>
      </c>
      <c r="C283">
        <v>10</v>
      </c>
      <c r="D283" t="s">
        <v>97</v>
      </c>
      <c r="E283" t="s">
        <v>98</v>
      </c>
      <c r="F283" t="s">
        <v>99</v>
      </c>
      <c r="G283" t="s">
        <v>100</v>
      </c>
      <c r="H283">
        <v>99999</v>
      </c>
      <c r="I283" t="s">
        <v>30</v>
      </c>
      <c r="J283" t="s">
        <v>101</v>
      </c>
      <c r="K283" t="s">
        <v>45</v>
      </c>
      <c r="L283" s="2">
        <v>41955</v>
      </c>
      <c r="M283" t="s">
        <v>46</v>
      </c>
      <c r="N283" t="s">
        <v>102</v>
      </c>
      <c r="O283" t="s">
        <v>98</v>
      </c>
      <c r="P283" t="s">
        <v>99</v>
      </c>
      <c r="Q283" t="s">
        <v>100</v>
      </c>
      <c r="R283">
        <v>99999</v>
      </c>
      <c r="S283" t="s">
        <v>30</v>
      </c>
      <c r="U283" t="s">
        <v>111</v>
      </c>
      <c r="V283" t="s">
        <v>112</v>
      </c>
      <c r="W283" s="3">
        <v>22</v>
      </c>
      <c r="X283">
        <v>96</v>
      </c>
      <c r="Y283" s="4">
        <v>2112</v>
      </c>
      <c r="Z283" s="3">
        <v>221.76000000000002</v>
      </c>
    </row>
    <row r="284" spans="1:26" hidden="1" x14ac:dyDescent="0.4">
      <c r="A284">
        <v>1330</v>
      </c>
      <c r="B284" s="2">
        <v>41953</v>
      </c>
      <c r="C284">
        <v>10</v>
      </c>
      <c r="D284" t="s">
        <v>97</v>
      </c>
      <c r="E284" t="s">
        <v>98</v>
      </c>
      <c r="F284" t="s">
        <v>99</v>
      </c>
      <c r="G284" t="s">
        <v>100</v>
      </c>
      <c r="H284">
        <v>99999</v>
      </c>
      <c r="I284" t="s">
        <v>30</v>
      </c>
      <c r="J284" t="s">
        <v>101</v>
      </c>
      <c r="K284" t="s">
        <v>45</v>
      </c>
      <c r="L284" s="2">
        <v>41955</v>
      </c>
      <c r="M284" t="s">
        <v>46</v>
      </c>
      <c r="N284" t="s">
        <v>102</v>
      </c>
      <c r="O284" t="s">
        <v>98</v>
      </c>
      <c r="P284" t="s">
        <v>99</v>
      </c>
      <c r="Q284" t="s">
        <v>100</v>
      </c>
      <c r="R284">
        <v>99999</v>
      </c>
      <c r="S284" t="s">
        <v>30</v>
      </c>
      <c r="U284" t="s">
        <v>64</v>
      </c>
      <c r="V284" t="s">
        <v>65</v>
      </c>
      <c r="W284" s="3">
        <v>9.1999999999999993</v>
      </c>
      <c r="X284">
        <v>34</v>
      </c>
      <c r="Y284" s="4">
        <v>312.79999999999995</v>
      </c>
      <c r="Z284" s="3">
        <v>31.279999999999998</v>
      </c>
    </row>
    <row r="285" spans="1:26" hidden="1" x14ac:dyDescent="0.4">
      <c r="A285">
        <v>1331</v>
      </c>
      <c r="B285" s="2">
        <v>41954</v>
      </c>
      <c r="C285">
        <v>11</v>
      </c>
      <c r="D285" t="s">
        <v>113</v>
      </c>
      <c r="E285" t="s">
        <v>114</v>
      </c>
      <c r="F285" t="s">
        <v>115</v>
      </c>
      <c r="G285" t="s">
        <v>116</v>
      </c>
      <c r="H285">
        <v>99999</v>
      </c>
      <c r="I285" t="s">
        <v>30</v>
      </c>
      <c r="J285" t="s">
        <v>94</v>
      </c>
      <c r="K285" t="s">
        <v>95</v>
      </c>
      <c r="L285" s="2"/>
      <c r="M285" t="s">
        <v>62</v>
      </c>
      <c r="N285" t="s">
        <v>117</v>
      </c>
      <c r="O285" t="s">
        <v>114</v>
      </c>
      <c r="P285" t="s">
        <v>115</v>
      </c>
      <c r="Q285" t="s">
        <v>116</v>
      </c>
      <c r="R285">
        <v>99999</v>
      </c>
      <c r="S285" t="s">
        <v>30</v>
      </c>
      <c r="U285" t="s">
        <v>38</v>
      </c>
      <c r="V285" t="s">
        <v>39</v>
      </c>
      <c r="W285" s="3">
        <v>3.5</v>
      </c>
      <c r="X285">
        <v>42</v>
      </c>
      <c r="Y285" s="4">
        <v>147</v>
      </c>
      <c r="Z285" s="3">
        <v>15.141000000000002</v>
      </c>
    </row>
    <row r="286" spans="1:26" hidden="1" x14ac:dyDescent="0.4">
      <c r="A286">
        <v>1332</v>
      </c>
      <c r="B286" s="2">
        <v>41954</v>
      </c>
      <c r="C286">
        <v>11</v>
      </c>
      <c r="D286" t="s">
        <v>113</v>
      </c>
      <c r="E286" t="s">
        <v>114</v>
      </c>
      <c r="F286" t="s">
        <v>115</v>
      </c>
      <c r="G286" t="s">
        <v>116</v>
      </c>
      <c r="H286">
        <v>99999</v>
      </c>
      <c r="I286" t="s">
        <v>30</v>
      </c>
      <c r="J286" t="s">
        <v>94</v>
      </c>
      <c r="K286" t="s">
        <v>95</v>
      </c>
      <c r="L286" s="2"/>
      <c r="M286" t="s">
        <v>62</v>
      </c>
      <c r="N286" t="s">
        <v>117</v>
      </c>
      <c r="O286" t="s">
        <v>114</v>
      </c>
      <c r="P286" t="s">
        <v>115</v>
      </c>
      <c r="Q286" t="s">
        <v>116</v>
      </c>
      <c r="R286">
        <v>99999</v>
      </c>
      <c r="S286" t="s">
        <v>30</v>
      </c>
      <c r="U286" t="s">
        <v>103</v>
      </c>
      <c r="V286" t="s">
        <v>37</v>
      </c>
      <c r="W286" s="3">
        <v>2.99</v>
      </c>
      <c r="X286">
        <v>100</v>
      </c>
      <c r="Y286" s="4">
        <v>299</v>
      </c>
      <c r="Z286" s="3">
        <v>30.498000000000001</v>
      </c>
    </row>
    <row r="287" spans="1:26" hidden="1" x14ac:dyDescent="0.4">
      <c r="A287">
        <v>1333</v>
      </c>
      <c r="B287" s="2">
        <v>41944</v>
      </c>
      <c r="C287">
        <v>1</v>
      </c>
      <c r="D287" t="s">
        <v>118</v>
      </c>
      <c r="E287" t="s">
        <v>119</v>
      </c>
      <c r="F287" t="s">
        <v>120</v>
      </c>
      <c r="G287" t="s">
        <v>121</v>
      </c>
      <c r="H287">
        <v>99999</v>
      </c>
      <c r="I287" t="s">
        <v>30</v>
      </c>
      <c r="J287" t="s">
        <v>60</v>
      </c>
      <c r="K287" t="s">
        <v>61</v>
      </c>
      <c r="N287" t="s">
        <v>122</v>
      </c>
      <c r="O287" t="s">
        <v>119</v>
      </c>
      <c r="P287" t="s">
        <v>120</v>
      </c>
      <c r="Q287" t="s">
        <v>121</v>
      </c>
      <c r="R287">
        <v>99999</v>
      </c>
      <c r="S287" t="s">
        <v>30</v>
      </c>
      <c r="U287" t="s">
        <v>54</v>
      </c>
      <c r="V287" t="s">
        <v>37</v>
      </c>
      <c r="W287" s="3">
        <v>18</v>
      </c>
      <c r="X287">
        <v>42</v>
      </c>
      <c r="Y287" s="4">
        <v>756</v>
      </c>
      <c r="Z287" s="3">
        <v>76.356000000000009</v>
      </c>
    </row>
    <row r="288" spans="1:26" hidden="1" x14ac:dyDescent="0.4">
      <c r="A288">
        <v>1334</v>
      </c>
      <c r="B288" s="2">
        <v>41944</v>
      </c>
      <c r="C288">
        <v>1</v>
      </c>
      <c r="D288" t="s">
        <v>118</v>
      </c>
      <c r="E288" t="s">
        <v>119</v>
      </c>
      <c r="F288" t="s">
        <v>120</v>
      </c>
      <c r="G288" t="s">
        <v>121</v>
      </c>
      <c r="H288">
        <v>99999</v>
      </c>
      <c r="I288" t="s">
        <v>30</v>
      </c>
      <c r="J288" t="s">
        <v>60</v>
      </c>
      <c r="K288" t="s">
        <v>61</v>
      </c>
      <c r="L288" s="2"/>
      <c r="N288" t="s">
        <v>122</v>
      </c>
      <c r="O288" t="s">
        <v>119</v>
      </c>
      <c r="P288" t="s">
        <v>120</v>
      </c>
      <c r="Q288" t="s">
        <v>121</v>
      </c>
      <c r="R288">
        <v>99999</v>
      </c>
      <c r="S288" t="s">
        <v>30</v>
      </c>
      <c r="U288" t="s">
        <v>55</v>
      </c>
      <c r="V288" t="s">
        <v>37</v>
      </c>
      <c r="W288" s="3">
        <v>46</v>
      </c>
      <c r="X288">
        <v>16</v>
      </c>
      <c r="Y288" s="4">
        <v>736</v>
      </c>
      <c r="Z288" s="3">
        <v>70.656000000000006</v>
      </c>
    </row>
    <row r="289" spans="1:26" hidden="1" x14ac:dyDescent="0.4">
      <c r="A289">
        <v>1335</v>
      </c>
      <c r="B289" s="2">
        <v>41944</v>
      </c>
      <c r="C289">
        <v>1</v>
      </c>
      <c r="D289" t="s">
        <v>118</v>
      </c>
      <c r="E289" t="s">
        <v>119</v>
      </c>
      <c r="F289" t="s">
        <v>120</v>
      </c>
      <c r="G289" t="s">
        <v>121</v>
      </c>
      <c r="H289">
        <v>99999</v>
      </c>
      <c r="I289" t="s">
        <v>30</v>
      </c>
      <c r="J289" t="s">
        <v>60</v>
      </c>
      <c r="K289" t="s">
        <v>61</v>
      </c>
      <c r="L289" s="2"/>
      <c r="N289" t="s">
        <v>122</v>
      </c>
      <c r="O289" t="s">
        <v>119</v>
      </c>
      <c r="P289" t="s">
        <v>120</v>
      </c>
      <c r="Q289" t="s">
        <v>121</v>
      </c>
      <c r="R289">
        <v>99999</v>
      </c>
      <c r="S289" t="s">
        <v>30</v>
      </c>
      <c r="U289" t="s">
        <v>103</v>
      </c>
      <c r="V289" t="s">
        <v>37</v>
      </c>
      <c r="W289" s="3">
        <v>2.99</v>
      </c>
      <c r="X289">
        <v>22</v>
      </c>
      <c r="Y289" s="4">
        <v>65.78</v>
      </c>
      <c r="Z289" s="3">
        <v>6.3806599999999998</v>
      </c>
    </row>
    <row r="290" spans="1:26" x14ac:dyDescent="0.4">
      <c r="A290">
        <v>1336</v>
      </c>
      <c r="B290" s="2">
        <v>41971</v>
      </c>
      <c r="C290">
        <v>28</v>
      </c>
      <c r="D290" t="s">
        <v>90</v>
      </c>
      <c r="E290" t="s">
        <v>91</v>
      </c>
      <c r="F290" t="s">
        <v>92</v>
      </c>
      <c r="G290" t="s">
        <v>93</v>
      </c>
      <c r="H290">
        <v>99999</v>
      </c>
      <c r="I290" t="s">
        <v>30</v>
      </c>
      <c r="J290" t="s">
        <v>94</v>
      </c>
      <c r="K290" t="s">
        <v>95</v>
      </c>
      <c r="L290" s="2">
        <v>41973</v>
      </c>
      <c r="M290" t="s">
        <v>62</v>
      </c>
      <c r="N290" t="s">
        <v>96</v>
      </c>
      <c r="O290" t="s">
        <v>91</v>
      </c>
      <c r="P290" t="s">
        <v>92</v>
      </c>
      <c r="Q290" t="s">
        <v>93</v>
      </c>
      <c r="R290">
        <v>99999</v>
      </c>
      <c r="S290" t="s">
        <v>30</v>
      </c>
      <c r="T290" t="s">
        <v>48</v>
      </c>
      <c r="U290" t="s">
        <v>80</v>
      </c>
      <c r="V290" t="s">
        <v>81</v>
      </c>
      <c r="W290" s="3">
        <v>9.65</v>
      </c>
      <c r="X290">
        <v>46</v>
      </c>
      <c r="Y290" s="4">
        <v>443.90000000000003</v>
      </c>
      <c r="Z290" s="3">
        <v>45.721700000000006</v>
      </c>
    </row>
    <row r="291" spans="1:26" x14ac:dyDescent="0.4">
      <c r="A291">
        <v>1337</v>
      </c>
      <c r="B291" s="2">
        <v>41971</v>
      </c>
      <c r="C291">
        <v>28</v>
      </c>
      <c r="D291" t="s">
        <v>90</v>
      </c>
      <c r="E291" t="s">
        <v>91</v>
      </c>
      <c r="F291" t="s">
        <v>92</v>
      </c>
      <c r="G291" t="s">
        <v>93</v>
      </c>
      <c r="H291">
        <v>99999</v>
      </c>
      <c r="I291" t="s">
        <v>30</v>
      </c>
      <c r="J291" t="s">
        <v>94</v>
      </c>
      <c r="K291" t="s">
        <v>95</v>
      </c>
      <c r="L291">
        <v>41973</v>
      </c>
      <c r="M291" t="s">
        <v>62</v>
      </c>
      <c r="N291" t="s">
        <v>96</v>
      </c>
      <c r="O291" t="s">
        <v>91</v>
      </c>
      <c r="P291" t="s">
        <v>92</v>
      </c>
      <c r="Q291" t="s">
        <v>93</v>
      </c>
      <c r="R291">
        <v>99999</v>
      </c>
      <c r="S291" t="s">
        <v>30</v>
      </c>
      <c r="T291" t="s">
        <v>48</v>
      </c>
      <c r="U291" t="s">
        <v>123</v>
      </c>
      <c r="V291" t="s">
        <v>124</v>
      </c>
      <c r="W291" s="3">
        <v>18.399999999999999</v>
      </c>
      <c r="X291">
        <v>100</v>
      </c>
      <c r="Y291" s="4">
        <v>1839.9999999999998</v>
      </c>
      <c r="Z291" s="3">
        <v>184</v>
      </c>
    </row>
    <row r="292" spans="1:26" x14ac:dyDescent="0.4">
      <c r="A292">
        <v>1338</v>
      </c>
      <c r="B292" s="2">
        <v>41952</v>
      </c>
      <c r="C292">
        <v>9</v>
      </c>
      <c r="D292" t="s">
        <v>125</v>
      </c>
      <c r="E292" t="s">
        <v>126</v>
      </c>
      <c r="F292" t="s">
        <v>127</v>
      </c>
      <c r="G292" t="s">
        <v>128</v>
      </c>
      <c r="H292">
        <v>99999</v>
      </c>
      <c r="I292" t="s">
        <v>30</v>
      </c>
      <c r="J292" t="s">
        <v>129</v>
      </c>
      <c r="K292" t="s">
        <v>32</v>
      </c>
      <c r="L292">
        <v>41954</v>
      </c>
      <c r="M292" t="s">
        <v>46</v>
      </c>
      <c r="N292" t="s">
        <v>130</v>
      </c>
      <c r="O292" t="s">
        <v>126</v>
      </c>
      <c r="P292" t="s">
        <v>127</v>
      </c>
      <c r="Q292" t="s">
        <v>128</v>
      </c>
      <c r="R292">
        <v>99999</v>
      </c>
      <c r="S292" t="s">
        <v>30</v>
      </c>
      <c r="T292" t="s">
        <v>35</v>
      </c>
      <c r="U292" t="s">
        <v>131</v>
      </c>
      <c r="V292" t="s">
        <v>132</v>
      </c>
      <c r="W292" s="3">
        <v>19.5</v>
      </c>
      <c r="X292">
        <v>87</v>
      </c>
      <c r="Y292" s="4">
        <v>1696.5</v>
      </c>
      <c r="Z292" s="3">
        <v>174.73950000000002</v>
      </c>
    </row>
    <row r="293" spans="1:26" x14ac:dyDescent="0.4">
      <c r="A293">
        <v>1339</v>
      </c>
      <c r="B293" s="2">
        <v>41952</v>
      </c>
      <c r="C293">
        <v>9</v>
      </c>
      <c r="D293" t="s">
        <v>125</v>
      </c>
      <c r="E293" t="s">
        <v>126</v>
      </c>
      <c r="F293" t="s">
        <v>127</v>
      </c>
      <c r="G293" t="s">
        <v>128</v>
      </c>
      <c r="H293">
        <v>99999</v>
      </c>
      <c r="I293" t="s">
        <v>30</v>
      </c>
      <c r="J293" t="s">
        <v>129</v>
      </c>
      <c r="K293" t="s">
        <v>32</v>
      </c>
      <c r="L293">
        <v>41954</v>
      </c>
      <c r="M293" t="s">
        <v>46</v>
      </c>
      <c r="N293" t="s">
        <v>130</v>
      </c>
      <c r="O293" t="s">
        <v>126</v>
      </c>
      <c r="P293" t="s">
        <v>127</v>
      </c>
      <c r="Q293" t="s">
        <v>128</v>
      </c>
      <c r="R293">
        <v>99999</v>
      </c>
      <c r="S293" t="s">
        <v>30</v>
      </c>
      <c r="T293" t="s">
        <v>35</v>
      </c>
      <c r="U293" t="s">
        <v>133</v>
      </c>
      <c r="V293" t="s">
        <v>134</v>
      </c>
      <c r="W293" s="3">
        <v>34.799999999999997</v>
      </c>
      <c r="X293">
        <v>58</v>
      </c>
      <c r="Y293" s="4">
        <v>2018.3999999999999</v>
      </c>
      <c r="Z293" s="3">
        <v>205.8768</v>
      </c>
    </row>
    <row r="294" spans="1:26" x14ac:dyDescent="0.4">
      <c r="A294">
        <v>1340</v>
      </c>
      <c r="B294" s="2">
        <v>41949</v>
      </c>
      <c r="C294">
        <v>6</v>
      </c>
      <c r="D294" t="s">
        <v>82</v>
      </c>
      <c r="E294" t="s">
        <v>83</v>
      </c>
      <c r="F294" t="s">
        <v>84</v>
      </c>
      <c r="G294" t="s">
        <v>85</v>
      </c>
      <c r="H294">
        <v>99999</v>
      </c>
      <c r="I294" t="s">
        <v>30</v>
      </c>
      <c r="J294" t="s">
        <v>86</v>
      </c>
      <c r="K294" t="s">
        <v>61</v>
      </c>
      <c r="L294">
        <v>41951</v>
      </c>
      <c r="M294" t="s">
        <v>33</v>
      </c>
      <c r="N294" t="s">
        <v>87</v>
      </c>
      <c r="O294" t="s">
        <v>83</v>
      </c>
      <c r="P294" t="s">
        <v>84</v>
      </c>
      <c r="Q294" t="s">
        <v>85</v>
      </c>
      <c r="R294">
        <v>99999</v>
      </c>
      <c r="S294" t="s">
        <v>30</v>
      </c>
      <c r="T294" t="s">
        <v>48</v>
      </c>
      <c r="U294" t="s">
        <v>36</v>
      </c>
      <c r="V294" t="s">
        <v>37</v>
      </c>
      <c r="W294" s="3">
        <v>14</v>
      </c>
      <c r="X294">
        <v>85</v>
      </c>
      <c r="Y294" s="4">
        <v>1190</v>
      </c>
      <c r="Z294" s="3">
        <v>120.19</v>
      </c>
    </row>
    <row r="295" spans="1:26" x14ac:dyDescent="0.4">
      <c r="A295">
        <v>1341</v>
      </c>
      <c r="B295" s="2">
        <v>41951</v>
      </c>
      <c r="C295">
        <v>8</v>
      </c>
      <c r="D295" t="s">
        <v>56</v>
      </c>
      <c r="E295" t="s">
        <v>57</v>
      </c>
      <c r="F295" t="s">
        <v>58</v>
      </c>
      <c r="G295" t="s">
        <v>59</v>
      </c>
      <c r="H295">
        <v>99999</v>
      </c>
      <c r="I295" t="s">
        <v>30</v>
      </c>
      <c r="J295" t="s">
        <v>60</v>
      </c>
      <c r="K295" t="s">
        <v>61</v>
      </c>
      <c r="L295">
        <v>41953</v>
      </c>
      <c r="M295" t="s">
        <v>33</v>
      </c>
      <c r="N295" t="s">
        <v>63</v>
      </c>
      <c r="O295" t="s">
        <v>57</v>
      </c>
      <c r="P295" t="s">
        <v>58</v>
      </c>
      <c r="Q295" t="s">
        <v>59</v>
      </c>
      <c r="R295">
        <v>99999</v>
      </c>
      <c r="S295" t="s">
        <v>30</v>
      </c>
      <c r="T295" t="s">
        <v>35</v>
      </c>
      <c r="U295" t="s">
        <v>88</v>
      </c>
      <c r="V295" t="s">
        <v>89</v>
      </c>
      <c r="W295" s="3">
        <v>40</v>
      </c>
      <c r="X295">
        <v>28</v>
      </c>
      <c r="Y295" s="4">
        <v>1120</v>
      </c>
      <c r="Z295" s="3">
        <v>110.88</v>
      </c>
    </row>
    <row r="296" spans="1:26" x14ac:dyDescent="0.4">
      <c r="A296">
        <v>1342</v>
      </c>
      <c r="B296" s="2">
        <v>41951</v>
      </c>
      <c r="C296">
        <v>8</v>
      </c>
      <c r="D296" t="s">
        <v>56</v>
      </c>
      <c r="E296" t="s">
        <v>57</v>
      </c>
      <c r="F296" t="s">
        <v>58</v>
      </c>
      <c r="G296" t="s">
        <v>59</v>
      </c>
      <c r="H296">
        <v>99999</v>
      </c>
      <c r="I296" t="s">
        <v>30</v>
      </c>
      <c r="J296" t="s">
        <v>60</v>
      </c>
      <c r="K296" t="s">
        <v>61</v>
      </c>
      <c r="L296" s="2">
        <v>41953</v>
      </c>
      <c r="M296" t="s">
        <v>33</v>
      </c>
      <c r="N296" t="s">
        <v>63</v>
      </c>
      <c r="O296" t="s">
        <v>57</v>
      </c>
      <c r="P296" t="s">
        <v>58</v>
      </c>
      <c r="Q296" t="s">
        <v>59</v>
      </c>
      <c r="R296">
        <v>99999</v>
      </c>
      <c r="S296" t="s">
        <v>30</v>
      </c>
      <c r="T296" t="s">
        <v>35</v>
      </c>
      <c r="U296" t="s">
        <v>64</v>
      </c>
      <c r="V296" t="s">
        <v>65</v>
      </c>
      <c r="W296" s="3">
        <v>9.1999999999999993</v>
      </c>
      <c r="X296">
        <v>19</v>
      </c>
      <c r="Y296" s="4">
        <v>174.79999999999998</v>
      </c>
      <c r="Z296" s="3">
        <v>17.130400000000002</v>
      </c>
    </row>
    <row r="297" spans="1:26" x14ac:dyDescent="0.4">
      <c r="A297">
        <v>1343</v>
      </c>
      <c r="B297" s="2">
        <v>41968</v>
      </c>
      <c r="C297">
        <v>25</v>
      </c>
      <c r="D297" t="s">
        <v>137</v>
      </c>
      <c r="E297" t="s">
        <v>138</v>
      </c>
      <c r="F297" t="s">
        <v>99</v>
      </c>
      <c r="G297" t="s">
        <v>100</v>
      </c>
      <c r="H297">
        <v>99999</v>
      </c>
      <c r="I297" t="s">
        <v>30</v>
      </c>
      <c r="J297" t="s">
        <v>101</v>
      </c>
      <c r="K297" t="s">
        <v>45</v>
      </c>
      <c r="L297" s="2">
        <v>41970</v>
      </c>
      <c r="M297" t="s">
        <v>46</v>
      </c>
      <c r="N297" t="s">
        <v>139</v>
      </c>
      <c r="O297" t="s">
        <v>138</v>
      </c>
      <c r="P297" t="s">
        <v>99</v>
      </c>
      <c r="Q297" t="s">
        <v>100</v>
      </c>
      <c r="R297">
        <v>99999</v>
      </c>
      <c r="S297" t="s">
        <v>30</v>
      </c>
      <c r="T297" t="s">
        <v>79</v>
      </c>
      <c r="U297" t="s">
        <v>146</v>
      </c>
      <c r="V297" t="s">
        <v>65</v>
      </c>
      <c r="W297" s="3">
        <v>10</v>
      </c>
      <c r="X297">
        <v>99</v>
      </c>
      <c r="Y297" s="4">
        <v>990</v>
      </c>
      <c r="Z297" s="3">
        <v>102.96000000000001</v>
      </c>
    </row>
    <row r="298" spans="1:26" x14ac:dyDescent="0.4">
      <c r="A298">
        <v>1344</v>
      </c>
      <c r="B298" s="2">
        <v>41969</v>
      </c>
      <c r="C298">
        <v>26</v>
      </c>
      <c r="D298" t="s">
        <v>140</v>
      </c>
      <c r="E298" t="s">
        <v>141</v>
      </c>
      <c r="F298" t="s">
        <v>115</v>
      </c>
      <c r="G298" t="s">
        <v>116</v>
      </c>
      <c r="H298">
        <v>99999</v>
      </c>
      <c r="I298" t="s">
        <v>30</v>
      </c>
      <c r="J298" t="s">
        <v>94</v>
      </c>
      <c r="K298" t="s">
        <v>95</v>
      </c>
      <c r="L298" s="2">
        <v>41971</v>
      </c>
      <c r="M298" t="s">
        <v>62</v>
      </c>
      <c r="N298" t="s">
        <v>142</v>
      </c>
      <c r="O298" t="s">
        <v>141</v>
      </c>
      <c r="P298" t="s">
        <v>115</v>
      </c>
      <c r="Q298" t="s">
        <v>116</v>
      </c>
      <c r="R298">
        <v>99999</v>
      </c>
      <c r="S298" t="s">
        <v>30</v>
      </c>
      <c r="T298" t="s">
        <v>48</v>
      </c>
      <c r="U298" t="s">
        <v>147</v>
      </c>
      <c r="V298" t="s">
        <v>148</v>
      </c>
      <c r="W298" s="3">
        <v>21.35</v>
      </c>
      <c r="X298">
        <v>69</v>
      </c>
      <c r="Y298" s="4">
        <v>1473.15</v>
      </c>
      <c r="Z298" s="3">
        <v>153.20760000000004</v>
      </c>
    </row>
    <row r="299" spans="1:26" x14ac:dyDescent="0.4">
      <c r="A299">
        <v>1345</v>
      </c>
      <c r="B299" s="2">
        <v>41969</v>
      </c>
      <c r="C299">
        <v>26</v>
      </c>
      <c r="D299" t="s">
        <v>140</v>
      </c>
      <c r="E299" t="s">
        <v>141</v>
      </c>
      <c r="F299" t="s">
        <v>115</v>
      </c>
      <c r="G299" t="s">
        <v>116</v>
      </c>
      <c r="H299">
        <v>99999</v>
      </c>
      <c r="I299" t="s">
        <v>30</v>
      </c>
      <c r="J299" t="s">
        <v>94</v>
      </c>
      <c r="K299" t="s">
        <v>95</v>
      </c>
      <c r="L299" s="2">
        <v>41971</v>
      </c>
      <c r="M299" t="s">
        <v>62</v>
      </c>
      <c r="N299" t="s">
        <v>142</v>
      </c>
      <c r="O299" t="s">
        <v>141</v>
      </c>
      <c r="P299" t="s">
        <v>115</v>
      </c>
      <c r="Q299" t="s">
        <v>116</v>
      </c>
      <c r="R299">
        <v>99999</v>
      </c>
      <c r="S299" t="s">
        <v>30</v>
      </c>
      <c r="T299" t="s">
        <v>48</v>
      </c>
      <c r="U299" t="s">
        <v>80</v>
      </c>
      <c r="V299" t="s">
        <v>81</v>
      </c>
      <c r="W299" s="3">
        <v>9.65</v>
      </c>
      <c r="X299">
        <v>37</v>
      </c>
      <c r="Y299" s="4">
        <v>357.05</v>
      </c>
      <c r="Z299" s="3">
        <v>33.919750000000001</v>
      </c>
    </row>
    <row r="300" spans="1:26" x14ac:dyDescent="0.4">
      <c r="A300">
        <v>1346</v>
      </c>
      <c r="B300" s="2">
        <v>41969</v>
      </c>
      <c r="C300">
        <v>26</v>
      </c>
      <c r="D300" t="s">
        <v>140</v>
      </c>
      <c r="E300" t="s">
        <v>141</v>
      </c>
      <c r="F300" t="s">
        <v>115</v>
      </c>
      <c r="G300" t="s">
        <v>116</v>
      </c>
      <c r="H300">
        <v>99999</v>
      </c>
      <c r="I300" t="s">
        <v>30</v>
      </c>
      <c r="J300" t="s">
        <v>94</v>
      </c>
      <c r="K300" t="s">
        <v>95</v>
      </c>
      <c r="L300" s="2">
        <v>41971</v>
      </c>
      <c r="M300" t="s">
        <v>62</v>
      </c>
      <c r="N300" t="s">
        <v>142</v>
      </c>
      <c r="O300" t="s">
        <v>141</v>
      </c>
      <c r="P300" t="s">
        <v>115</v>
      </c>
      <c r="Q300" t="s">
        <v>116</v>
      </c>
      <c r="R300">
        <v>99999</v>
      </c>
      <c r="S300" t="s">
        <v>30</v>
      </c>
      <c r="T300" t="s">
        <v>48</v>
      </c>
      <c r="U300" t="s">
        <v>123</v>
      </c>
      <c r="V300" t="s">
        <v>124</v>
      </c>
      <c r="W300" s="3">
        <v>18.399999999999999</v>
      </c>
      <c r="X300">
        <v>64</v>
      </c>
      <c r="Y300" s="4">
        <v>1177.5999999999999</v>
      </c>
      <c r="Z300" s="3">
        <v>118.93759999999999</v>
      </c>
    </row>
    <row r="301" spans="1:26" x14ac:dyDescent="0.4">
      <c r="A301">
        <v>1347</v>
      </c>
      <c r="B301" s="2">
        <v>41972</v>
      </c>
      <c r="C301">
        <v>29</v>
      </c>
      <c r="D301" t="s">
        <v>66</v>
      </c>
      <c r="E301" t="s">
        <v>67</v>
      </c>
      <c r="F301" t="s">
        <v>68</v>
      </c>
      <c r="G301" t="s">
        <v>69</v>
      </c>
      <c r="H301">
        <v>99999</v>
      </c>
      <c r="I301" t="s">
        <v>30</v>
      </c>
      <c r="J301" t="s">
        <v>70</v>
      </c>
      <c r="K301" t="s">
        <v>32</v>
      </c>
      <c r="L301" s="2">
        <v>41974</v>
      </c>
      <c r="M301" t="s">
        <v>33</v>
      </c>
      <c r="N301" t="s">
        <v>71</v>
      </c>
      <c r="O301" t="s">
        <v>67</v>
      </c>
      <c r="P301" t="s">
        <v>68</v>
      </c>
      <c r="Q301" t="s">
        <v>69</v>
      </c>
      <c r="R301">
        <v>99999</v>
      </c>
      <c r="S301" t="s">
        <v>30</v>
      </c>
      <c r="T301" t="s">
        <v>35</v>
      </c>
      <c r="U301" t="s">
        <v>36</v>
      </c>
      <c r="V301" t="s">
        <v>37</v>
      </c>
      <c r="W301" s="3">
        <v>14</v>
      </c>
      <c r="X301">
        <v>38</v>
      </c>
      <c r="Y301" s="4">
        <v>532</v>
      </c>
      <c r="Z301" s="3">
        <v>55.328000000000003</v>
      </c>
    </row>
    <row r="302" spans="1:26" x14ac:dyDescent="0.4">
      <c r="A302">
        <v>1348</v>
      </c>
      <c r="B302" s="2">
        <v>41949</v>
      </c>
      <c r="C302">
        <v>6</v>
      </c>
      <c r="D302" t="s">
        <v>82</v>
      </c>
      <c r="E302" t="s">
        <v>83</v>
      </c>
      <c r="F302" t="s">
        <v>84</v>
      </c>
      <c r="G302" t="s">
        <v>85</v>
      </c>
      <c r="H302">
        <v>99999</v>
      </c>
      <c r="I302" t="s">
        <v>30</v>
      </c>
      <c r="J302" t="s">
        <v>86</v>
      </c>
      <c r="K302" t="s">
        <v>61</v>
      </c>
      <c r="L302" s="2">
        <v>41951</v>
      </c>
      <c r="M302" t="s">
        <v>62</v>
      </c>
      <c r="N302" t="s">
        <v>87</v>
      </c>
      <c r="O302" t="s">
        <v>83</v>
      </c>
      <c r="P302" t="s">
        <v>84</v>
      </c>
      <c r="Q302" t="s">
        <v>85</v>
      </c>
      <c r="R302">
        <v>99999</v>
      </c>
      <c r="S302" t="s">
        <v>30</v>
      </c>
      <c r="T302" t="s">
        <v>35</v>
      </c>
      <c r="U302" t="s">
        <v>72</v>
      </c>
      <c r="V302" t="s">
        <v>73</v>
      </c>
      <c r="W302" s="3">
        <v>12.75</v>
      </c>
      <c r="X302">
        <v>15</v>
      </c>
      <c r="Y302" s="4">
        <v>191.25</v>
      </c>
      <c r="Z302" s="3">
        <v>18.55125</v>
      </c>
    </row>
    <row r="303" spans="1:26" x14ac:dyDescent="0.4">
      <c r="A303">
        <v>1350</v>
      </c>
      <c r="B303" s="2">
        <v>41947</v>
      </c>
      <c r="C303">
        <v>4</v>
      </c>
      <c r="D303" t="s">
        <v>40</v>
      </c>
      <c r="E303" t="s">
        <v>41</v>
      </c>
      <c r="F303" t="s">
        <v>42</v>
      </c>
      <c r="G303" t="s">
        <v>43</v>
      </c>
      <c r="H303">
        <v>99999</v>
      </c>
      <c r="I303" t="s">
        <v>30</v>
      </c>
      <c r="J303" t="s">
        <v>44</v>
      </c>
      <c r="K303" t="s">
        <v>45</v>
      </c>
      <c r="L303" s="2">
        <v>41949</v>
      </c>
      <c r="M303" t="s">
        <v>46</v>
      </c>
      <c r="N303" t="s">
        <v>47</v>
      </c>
      <c r="O303" t="s">
        <v>41</v>
      </c>
      <c r="P303" t="s">
        <v>42</v>
      </c>
      <c r="Q303" t="s">
        <v>43</v>
      </c>
      <c r="R303">
        <v>99999</v>
      </c>
      <c r="S303" t="s">
        <v>30</v>
      </c>
      <c r="T303" t="s">
        <v>48</v>
      </c>
      <c r="U303" t="s">
        <v>149</v>
      </c>
      <c r="V303" t="s">
        <v>110</v>
      </c>
      <c r="W303" s="3">
        <v>81</v>
      </c>
      <c r="X303">
        <v>52</v>
      </c>
      <c r="Y303" s="4">
        <v>4212</v>
      </c>
      <c r="Z303" s="3">
        <v>412.77600000000001</v>
      </c>
    </row>
    <row r="304" spans="1:26" x14ac:dyDescent="0.4">
      <c r="A304">
        <v>1351</v>
      </c>
      <c r="B304" s="2">
        <v>41947</v>
      </c>
      <c r="C304">
        <v>4</v>
      </c>
      <c r="D304" t="s">
        <v>40</v>
      </c>
      <c r="E304" t="s">
        <v>41</v>
      </c>
      <c r="F304" t="s">
        <v>42</v>
      </c>
      <c r="G304" t="s">
        <v>43</v>
      </c>
      <c r="H304">
        <v>99999</v>
      </c>
      <c r="I304" t="s">
        <v>30</v>
      </c>
      <c r="J304" t="s">
        <v>44</v>
      </c>
      <c r="K304" t="s">
        <v>45</v>
      </c>
      <c r="L304" s="2">
        <v>41949</v>
      </c>
      <c r="M304" t="s">
        <v>46</v>
      </c>
      <c r="N304" t="s">
        <v>47</v>
      </c>
      <c r="O304" t="s">
        <v>41</v>
      </c>
      <c r="P304" t="s">
        <v>42</v>
      </c>
      <c r="Q304" t="s">
        <v>43</v>
      </c>
      <c r="R304">
        <v>99999</v>
      </c>
      <c r="S304" t="s">
        <v>30</v>
      </c>
      <c r="T304" t="s">
        <v>48</v>
      </c>
      <c r="U304" t="s">
        <v>150</v>
      </c>
      <c r="V304" t="s">
        <v>151</v>
      </c>
      <c r="W304" s="3">
        <v>7</v>
      </c>
      <c r="X304">
        <v>37</v>
      </c>
      <c r="Y304" s="4">
        <v>259</v>
      </c>
      <c r="Z304" s="3">
        <v>25.382000000000001</v>
      </c>
    </row>
    <row r="305" spans="1:26" x14ac:dyDescent="0.4">
      <c r="A305">
        <v>1353</v>
      </c>
      <c r="B305" s="2">
        <v>41951</v>
      </c>
      <c r="C305">
        <v>8</v>
      </c>
      <c r="D305" t="s">
        <v>56</v>
      </c>
      <c r="E305" t="s">
        <v>57</v>
      </c>
      <c r="F305" t="s">
        <v>58</v>
      </c>
      <c r="G305" t="s">
        <v>59</v>
      </c>
      <c r="H305">
        <v>99999</v>
      </c>
      <c r="I305" t="s">
        <v>30</v>
      </c>
      <c r="J305" t="s">
        <v>60</v>
      </c>
      <c r="K305" t="s">
        <v>61</v>
      </c>
      <c r="L305" s="2">
        <v>41953</v>
      </c>
      <c r="M305" t="s">
        <v>62</v>
      </c>
      <c r="N305" t="s">
        <v>63</v>
      </c>
      <c r="O305" t="s">
        <v>57</v>
      </c>
      <c r="P305" t="s">
        <v>58</v>
      </c>
      <c r="Q305" t="s">
        <v>59</v>
      </c>
      <c r="R305">
        <v>99999</v>
      </c>
      <c r="S305" t="s">
        <v>30</v>
      </c>
      <c r="T305" t="s">
        <v>48</v>
      </c>
      <c r="U305" t="s">
        <v>133</v>
      </c>
      <c r="V305" t="s">
        <v>134</v>
      </c>
      <c r="W305" s="3">
        <v>34.799999999999997</v>
      </c>
      <c r="X305">
        <v>24</v>
      </c>
      <c r="Y305" s="4">
        <v>835.19999999999993</v>
      </c>
      <c r="Z305" s="3">
        <v>80.179199999999994</v>
      </c>
    </row>
    <row r="306" spans="1:26" x14ac:dyDescent="0.4">
      <c r="A306">
        <v>1356</v>
      </c>
      <c r="B306" s="2">
        <v>41946</v>
      </c>
      <c r="C306">
        <v>3</v>
      </c>
      <c r="D306" t="s">
        <v>74</v>
      </c>
      <c r="E306" t="s">
        <v>75</v>
      </c>
      <c r="F306" t="s">
        <v>76</v>
      </c>
      <c r="G306" t="s">
        <v>77</v>
      </c>
      <c r="H306">
        <v>99999</v>
      </c>
      <c r="I306" t="s">
        <v>30</v>
      </c>
      <c r="J306" t="s">
        <v>31</v>
      </c>
      <c r="K306" t="s">
        <v>32</v>
      </c>
      <c r="L306" s="2">
        <v>41948</v>
      </c>
      <c r="M306" t="s">
        <v>33</v>
      </c>
      <c r="N306" t="s">
        <v>78</v>
      </c>
      <c r="O306" t="s">
        <v>75</v>
      </c>
      <c r="P306" t="s">
        <v>76</v>
      </c>
      <c r="Q306" t="s">
        <v>77</v>
      </c>
      <c r="R306">
        <v>99999</v>
      </c>
      <c r="S306" t="s">
        <v>30</v>
      </c>
      <c r="T306" t="s">
        <v>79</v>
      </c>
      <c r="U306" t="s">
        <v>135</v>
      </c>
      <c r="V306" t="s">
        <v>112</v>
      </c>
      <c r="W306" s="3">
        <v>10</v>
      </c>
      <c r="X306">
        <v>36</v>
      </c>
      <c r="Y306" s="4">
        <v>360</v>
      </c>
      <c r="Z306" s="3">
        <v>37.08</v>
      </c>
    </row>
    <row r="307" spans="1:26" x14ac:dyDescent="0.4">
      <c r="A307">
        <v>1357</v>
      </c>
      <c r="B307" s="2">
        <v>41946</v>
      </c>
      <c r="C307">
        <v>3</v>
      </c>
      <c r="D307" t="s">
        <v>74</v>
      </c>
      <c r="E307" t="s">
        <v>75</v>
      </c>
      <c r="F307" t="s">
        <v>76</v>
      </c>
      <c r="G307" t="s">
        <v>77</v>
      </c>
      <c r="H307">
        <v>99999</v>
      </c>
      <c r="I307" t="s">
        <v>30</v>
      </c>
      <c r="J307" t="s">
        <v>31</v>
      </c>
      <c r="K307" t="s">
        <v>32</v>
      </c>
      <c r="L307" s="2">
        <v>41948</v>
      </c>
      <c r="M307" t="s">
        <v>33</v>
      </c>
      <c r="N307" t="s">
        <v>78</v>
      </c>
      <c r="O307" t="s">
        <v>75</v>
      </c>
      <c r="P307" t="s">
        <v>76</v>
      </c>
      <c r="Q307" t="s">
        <v>77</v>
      </c>
      <c r="R307">
        <v>99999</v>
      </c>
      <c r="S307" t="s">
        <v>30</v>
      </c>
      <c r="T307" t="s">
        <v>79</v>
      </c>
      <c r="U307" t="s">
        <v>88</v>
      </c>
      <c r="V307" t="s">
        <v>89</v>
      </c>
      <c r="W307" s="3">
        <v>40</v>
      </c>
      <c r="X307">
        <v>24</v>
      </c>
      <c r="Y307" s="4">
        <v>960</v>
      </c>
      <c r="Z307" s="3">
        <v>96</v>
      </c>
    </row>
    <row r="308" spans="1:26" x14ac:dyDescent="0.4">
      <c r="A308">
        <v>1361</v>
      </c>
      <c r="B308" s="2">
        <v>41953</v>
      </c>
      <c r="C308">
        <v>10</v>
      </c>
      <c r="D308" t="s">
        <v>97</v>
      </c>
      <c r="E308" t="s">
        <v>98</v>
      </c>
      <c r="F308" t="s">
        <v>99</v>
      </c>
      <c r="G308" t="s">
        <v>100</v>
      </c>
      <c r="H308">
        <v>99999</v>
      </c>
      <c r="I308" t="s">
        <v>30</v>
      </c>
      <c r="J308" t="s">
        <v>101</v>
      </c>
      <c r="K308" t="s">
        <v>45</v>
      </c>
      <c r="L308" s="2">
        <v>41955</v>
      </c>
      <c r="M308" t="s">
        <v>33</v>
      </c>
      <c r="N308" t="s">
        <v>102</v>
      </c>
      <c r="O308" t="s">
        <v>98</v>
      </c>
      <c r="P308" t="s">
        <v>99</v>
      </c>
      <c r="Q308" t="s">
        <v>100</v>
      </c>
      <c r="R308">
        <v>99999</v>
      </c>
      <c r="S308" t="s">
        <v>30</v>
      </c>
      <c r="T308" t="s">
        <v>48</v>
      </c>
      <c r="U308" t="s">
        <v>136</v>
      </c>
      <c r="V308" t="s">
        <v>39</v>
      </c>
      <c r="W308" s="3">
        <v>10</v>
      </c>
      <c r="X308">
        <v>20</v>
      </c>
      <c r="Y308" s="4">
        <v>200</v>
      </c>
      <c r="Z308" s="3">
        <v>20</v>
      </c>
    </row>
    <row r="309" spans="1:26" hidden="1" x14ac:dyDescent="0.4">
      <c r="A309">
        <v>1363</v>
      </c>
      <c r="B309" s="2">
        <v>41953</v>
      </c>
      <c r="C309">
        <v>10</v>
      </c>
      <c r="D309" t="s">
        <v>97</v>
      </c>
      <c r="E309" t="s">
        <v>98</v>
      </c>
      <c r="F309" t="s">
        <v>99</v>
      </c>
      <c r="G309" t="s">
        <v>100</v>
      </c>
      <c r="H309">
        <v>99999</v>
      </c>
      <c r="I309" t="s">
        <v>30</v>
      </c>
      <c r="J309" t="s">
        <v>101</v>
      </c>
      <c r="K309" t="s">
        <v>45</v>
      </c>
      <c r="L309" s="2"/>
      <c r="M309" t="s">
        <v>46</v>
      </c>
      <c r="N309" t="s">
        <v>102</v>
      </c>
      <c r="O309" t="s">
        <v>98</v>
      </c>
      <c r="P309" t="s">
        <v>99</v>
      </c>
      <c r="Q309" t="s">
        <v>100</v>
      </c>
      <c r="R309">
        <v>99999</v>
      </c>
      <c r="S309" t="s">
        <v>30</v>
      </c>
      <c r="U309" t="s">
        <v>38</v>
      </c>
      <c r="V309" t="s">
        <v>39</v>
      </c>
      <c r="W309">
        <v>3.5</v>
      </c>
      <c r="X309">
        <v>11</v>
      </c>
      <c r="Y309" s="4">
        <v>38.5</v>
      </c>
      <c r="Z309" s="3">
        <v>3.7345000000000002</v>
      </c>
    </row>
    <row r="310" spans="1:26" hidden="1" x14ac:dyDescent="0.4">
      <c r="A310">
        <v>1364</v>
      </c>
      <c r="B310" s="2">
        <v>41954</v>
      </c>
      <c r="C310">
        <v>11</v>
      </c>
      <c r="D310" t="s">
        <v>113</v>
      </c>
      <c r="E310" t="s">
        <v>114</v>
      </c>
      <c r="F310" t="s">
        <v>115</v>
      </c>
      <c r="G310" t="s">
        <v>116</v>
      </c>
      <c r="H310">
        <v>99999</v>
      </c>
      <c r="I310" t="s">
        <v>30</v>
      </c>
      <c r="J310" t="s">
        <v>94</v>
      </c>
      <c r="K310" t="s">
        <v>95</v>
      </c>
      <c r="L310" s="2"/>
      <c r="M310" t="s">
        <v>62</v>
      </c>
      <c r="N310" t="s">
        <v>117</v>
      </c>
      <c r="O310" t="s">
        <v>114</v>
      </c>
      <c r="P310" t="s">
        <v>115</v>
      </c>
      <c r="Q310" t="s">
        <v>116</v>
      </c>
      <c r="R310">
        <v>99999</v>
      </c>
      <c r="S310" t="s">
        <v>30</v>
      </c>
      <c r="U310" t="s">
        <v>88</v>
      </c>
      <c r="V310" t="s">
        <v>89</v>
      </c>
      <c r="W310">
        <v>40</v>
      </c>
      <c r="X310">
        <v>78</v>
      </c>
      <c r="Y310" s="4">
        <v>3120</v>
      </c>
      <c r="Z310" s="3">
        <v>299.52</v>
      </c>
    </row>
    <row r="311" spans="1:26" hidden="1" x14ac:dyDescent="0.4">
      <c r="A311">
        <v>1365</v>
      </c>
      <c r="B311" s="2">
        <v>41944</v>
      </c>
      <c r="C311">
        <v>1</v>
      </c>
      <c r="D311" t="s">
        <v>118</v>
      </c>
      <c r="E311" t="s">
        <v>119</v>
      </c>
      <c r="F311" t="s">
        <v>120</v>
      </c>
      <c r="G311" t="s">
        <v>121</v>
      </c>
      <c r="H311">
        <v>99999</v>
      </c>
      <c r="I311" t="s">
        <v>30</v>
      </c>
      <c r="J311" t="s">
        <v>60</v>
      </c>
      <c r="K311" t="s">
        <v>61</v>
      </c>
      <c r="L311" s="2"/>
      <c r="M311" t="s">
        <v>62</v>
      </c>
      <c r="N311" t="s">
        <v>122</v>
      </c>
      <c r="O311" t="s">
        <v>119</v>
      </c>
      <c r="P311" t="s">
        <v>120</v>
      </c>
      <c r="Q311" t="s">
        <v>121</v>
      </c>
      <c r="R311">
        <v>99999</v>
      </c>
      <c r="S311" t="s">
        <v>30</v>
      </c>
      <c r="U311" t="s">
        <v>123</v>
      </c>
      <c r="V311" t="s">
        <v>124</v>
      </c>
      <c r="W311">
        <v>18.399999999999999</v>
      </c>
      <c r="X311">
        <v>76</v>
      </c>
      <c r="Y311" s="4">
        <v>1398.3999999999999</v>
      </c>
      <c r="Z311" s="3">
        <v>144.0352</v>
      </c>
    </row>
    <row r="312" spans="1:26" x14ac:dyDescent="0.4">
      <c r="A312">
        <v>1366</v>
      </c>
      <c r="B312" s="2">
        <v>41971</v>
      </c>
      <c r="C312">
        <v>28</v>
      </c>
      <c r="D312" t="s">
        <v>90</v>
      </c>
      <c r="E312" t="s">
        <v>91</v>
      </c>
      <c r="F312" t="s">
        <v>92</v>
      </c>
      <c r="G312" t="s">
        <v>93</v>
      </c>
      <c r="H312">
        <v>99999</v>
      </c>
      <c r="I312" t="s">
        <v>30</v>
      </c>
      <c r="J312" t="s">
        <v>94</v>
      </c>
      <c r="K312" t="s">
        <v>95</v>
      </c>
      <c r="L312" s="2">
        <v>41973</v>
      </c>
      <c r="M312" t="s">
        <v>62</v>
      </c>
      <c r="N312" t="s">
        <v>96</v>
      </c>
      <c r="O312" t="s">
        <v>91</v>
      </c>
      <c r="P312" t="s">
        <v>92</v>
      </c>
      <c r="Q312" t="s">
        <v>93</v>
      </c>
      <c r="R312">
        <v>99999</v>
      </c>
      <c r="S312" t="s">
        <v>30</v>
      </c>
      <c r="T312" t="s">
        <v>48</v>
      </c>
      <c r="U312" t="s">
        <v>55</v>
      </c>
      <c r="V312" t="s">
        <v>37</v>
      </c>
      <c r="W312">
        <v>46</v>
      </c>
      <c r="X312">
        <v>57</v>
      </c>
      <c r="Y312" s="4">
        <v>2622</v>
      </c>
      <c r="Z312" s="3">
        <v>272.68799999999999</v>
      </c>
    </row>
    <row r="313" spans="1:26" x14ac:dyDescent="0.4">
      <c r="A313">
        <v>1367</v>
      </c>
      <c r="B313" s="2">
        <v>41952</v>
      </c>
      <c r="C313">
        <v>9</v>
      </c>
      <c r="D313" t="s">
        <v>125</v>
      </c>
      <c r="E313" t="s">
        <v>126</v>
      </c>
      <c r="F313" t="s">
        <v>127</v>
      </c>
      <c r="G313" t="s">
        <v>128</v>
      </c>
      <c r="H313">
        <v>99999</v>
      </c>
      <c r="I313" t="s">
        <v>30</v>
      </c>
      <c r="J313" t="s">
        <v>129</v>
      </c>
      <c r="K313" t="s">
        <v>32</v>
      </c>
      <c r="L313" s="2">
        <v>41954</v>
      </c>
      <c r="M313" t="s">
        <v>46</v>
      </c>
      <c r="N313" t="s">
        <v>130</v>
      </c>
      <c r="O313" t="s">
        <v>126</v>
      </c>
      <c r="P313" t="s">
        <v>127</v>
      </c>
      <c r="Q313" t="s">
        <v>128</v>
      </c>
      <c r="R313">
        <v>99999</v>
      </c>
      <c r="S313" t="s">
        <v>30</v>
      </c>
      <c r="T313" t="s">
        <v>35</v>
      </c>
      <c r="U313" t="s">
        <v>80</v>
      </c>
      <c r="V313" t="s">
        <v>81</v>
      </c>
      <c r="W313">
        <v>9.65</v>
      </c>
      <c r="X313">
        <v>14</v>
      </c>
      <c r="Y313" s="4">
        <v>135.1</v>
      </c>
      <c r="Z313" s="3">
        <v>12.9696</v>
      </c>
    </row>
    <row r="314" spans="1:26" x14ac:dyDescent="0.4">
      <c r="A314">
        <v>1368</v>
      </c>
      <c r="B314" s="2">
        <v>42000</v>
      </c>
      <c r="C314">
        <v>27</v>
      </c>
      <c r="D314" t="s">
        <v>26</v>
      </c>
      <c r="E314" t="s">
        <v>27</v>
      </c>
      <c r="F314" t="s">
        <v>28</v>
      </c>
      <c r="G314" t="s">
        <v>29</v>
      </c>
      <c r="H314">
        <v>99999</v>
      </c>
      <c r="I314" t="s">
        <v>30</v>
      </c>
      <c r="J314" t="s">
        <v>31</v>
      </c>
      <c r="K314" t="s">
        <v>32</v>
      </c>
      <c r="L314" s="2">
        <v>42002</v>
      </c>
      <c r="M314" t="s">
        <v>33</v>
      </c>
      <c r="N314" t="s">
        <v>34</v>
      </c>
      <c r="O314" t="s">
        <v>27</v>
      </c>
      <c r="P314" t="s">
        <v>28</v>
      </c>
      <c r="Q314" t="s">
        <v>29</v>
      </c>
      <c r="R314">
        <v>99999</v>
      </c>
      <c r="S314" t="s">
        <v>30</v>
      </c>
      <c r="T314" t="s">
        <v>35</v>
      </c>
      <c r="U314" t="s">
        <v>36</v>
      </c>
      <c r="V314" t="s">
        <v>37</v>
      </c>
      <c r="W314">
        <v>14</v>
      </c>
      <c r="X314">
        <v>14</v>
      </c>
      <c r="Y314" s="4">
        <v>196</v>
      </c>
      <c r="Z314" s="3">
        <v>19.796000000000003</v>
      </c>
    </row>
    <row r="315" spans="1:26" x14ac:dyDescent="0.4">
      <c r="A315">
        <v>1369</v>
      </c>
      <c r="B315" s="2">
        <v>42000</v>
      </c>
      <c r="C315">
        <v>27</v>
      </c>
      <c r="D315" t="s">
        <v>26</v>
      </c>
      <c r="E315" t="s">
        <v>27</v>
      </c>
      <c r="F315" t="s">
        <v>28</v>
      </c>
      <c r="G315" t="s">
        <v>29</v>
      </c>
      <c r="H315">
        <v>99999</v>
      </c>
      <c r="I315" t="s">
        <v>30</v>
      </c>
      <c r="J315" t="s">
        <v>31</v>
      </c>
      <c r="K315" t="s">
        <v>32</v>
      </c>
      <c r="L315" s="2">
        <v>42002</v>
      </c>
      <c r="M315" t="s">
        <v>33</v>
      </c>
      <c r="N315" t="s">
        <v>34</v>
      </c>
      <c r="O315" t="s">
        <v>27</v>
      </c>
      <c r="P315" t="s">
        <v>28</v>
      </c>
      <c r="Q315" t="s">
        <v>29</v>
      </c>
      <c r="R315">
        <v>99999</v>
      </c>
      <c r="S315" t="s">
        <v>30</v>
      </c>
      <c r="T315" t="s">
        <v>35</v>
      </c>
      <c r="U315" t="s">
        <v>38</v>
      </c>
      <c r="V315" t="s">
        <v>39</v>
      </c>
      <c r="W315">
        <v>3.5</v>
      </c>
      <c r="X315">
        <v>70</v>
      </c>
      <c r="Y315" s="4">
        <v>245</v>
      </c>
      <c r="Z315" s="3">
        <v>25.234999999999999</v>
      </c>
    </row>
    <row r="316" spans="1:26" x14ac:dyDescent="0.4">
      <c r="A316">
        <v>1370</v>
      </c>
      <c r="B316" s="2">
        <v>41977</v>
      </c>
      <c r="C316">
        <v>4</v>
      </c>
      <c r="D316" t="s">
        <v>40</v>
      </c>
      <c r="E316" t="s">
        <v>41</v>
      </c>
      <c r="F316" t="s">
        <v>42</v>
      </c>
      <c r="G316" t="s">
        <v>43</v>
      </c>
      <c r="H316">
        <v>99999</v>
      </c>
      <c r="I316" t="s">
        <v>30</v>
      </c>
      <c r="J316" t="s">
        <v>44</v>
      </c>
      <c r="K316" t="s">
        <v>45</v>
      </c>
      <c r="L316" s="2">
        <v>41979</v>
      </c>
      <c r="M316" t="s">
        <v>46</v>
      </c>
      <c r="N316" t="s">
        <v>47</v>
      </c>
      <c r="O316" t="s">
        <v>41</v>
      </c>
      <c r="P316" t="s">
        <v>42</v>
      </c>
      <c r="Q316" t="s">
        <v>43</v>
      </c>
      <c r="R316">
        <v>99999</v>
      </c>
      <c r="S316" t="s">
        <v>30</v>
      </c>
      <c r="T316" t="s">
        <v>48</v>
      </c>
      <c r="U316" t="s">
        <v>49</v>
      </c>
      <c r="V316" t="s">
        <v>39</v>
      </c>
      <c r="W316">
        <v>30</v>
      </c>
      <c r="X316">
        <v>100</v>
      </c>
      <c r="Y316" s="4">
        <v>3000</v>
      </c>
      <c r="Z316" s="3">
        <v>291</v>
      </c>
    </row>
    <row r="317" spans="1:26" x14ac:dyDescent="0.4">
      <c r="A317">
        <v>1371</v>
      </c>
      <c r="B317" s="2">
        <v>41977</v>
      </c>
      <c r="C317">
        <v>4</v>
      </c>
      <c r="D317" t="s">
        <v>40</v>
      </c>
      <c r="E317" t="s">
        <v>41</v>
      </c>
      <c r="F317" t="s">
        <v>42</v>
      </c>
      <c r="G317" t="s">
        <v>43</v>
      </c>
      <c r="H317">
        <v>99999</v>
      </c>
      <c r="I317" t="s">
        <v>30</v>
      </c>
      <c r="J317" t="s">
        <v>44</v>
      </c>
      <c r="K317" t="s">
        <v>45</v>
      </c>
      <c r="L317" s="2">
        <v>41979</v>
      </c>
      <c r="M317" t="s">
        <v>46</v>
      </c>
      <c r="N317" t="s">
        <v>47</v>
      </c>
      <c r="O317" t="s">
        <v>41</v>
      </c>
      <c r="P317" t="s">
        <v>42</v>
      </c>
      <c r="Q317" t="s">
        <v>43</v>
      </c>
      <c r="R317">
        <v>99999</v>
      </c>
      <c r="S317" t="s">
        <v>30</v>
      </c>
      <c r="T317" t="s">
        <v>48</v>
      </c>
      <c r="U317" t="s">
        <v>50</v>
      </c>
      <c r="V317" t="s">
        <v>39</v>
      </c>
      <c r="W317">
        <v>53</v>
      </c>
      <c r="X317">
        <v>27</v>
      </c>
      <c r="Y317" s="4">
        <v>1431</v>
      </c>
      <c r="Z317" s="3">
        <v>143.1</v>
      </c>
    </row>
    <row r="318" spans="1:26" x14ac:dyDescent="0.4">
      <c r="A318">
        <v>1372</v>
      </c>
      <c r="B318" s="2">
        <v>41977</v>
      </c>
      <c r="C318">
        <v>4</v>
      </c>
      <c r="D318" t="s">
        <v>40</v>
      </c>
      <c r="E318" t="s">
        <v>41</v>
      </c>
      <c r="F318" t="s">
        <v>42</v>
      </c>
      <c r="G318" t="s">
        <v>43</v>
      </c>
      <c r="H318">
        <v>99999</v>
      </c>
      <c r="I318" t="s">
        <v>30</v>
      </c>
      <c r="J318" t="s">
        <v>44</v>
      </c>
      <c r="K318" t="s">
        <v>45</v>
      </c>
      <c r="L318" s="2">
        <v>41979</v>
      </c>
      <c r="M318" t="s">
        <v>46</v>
      </c>
      <c r="N318" t="s">
        <v>47</v>
      </c>
      <c r="O318" t="s">
        <v>41</v>
      </c>
      <c r="P318" t="s">
        <v>42</v>
      </c>
      <c r="Q318" t="s">
        <v>43</v>
      </c>
      <c r="R318">
        <v>99999</v>
      </c>
      <c r="S318" t="s">
        <v>30</v>
      </c>
      <c r="T318" t="s">
        <v>48</v>
      </c>
      <c r="U318" t="s">
        <v>38</v>
      </c>
      <c r="V318" t="s">
        <v>39</v>
      </c>
      <c r="W318">
        <v>3.5</v>
      </c>
      <c r="X318">
        <v>70</v>
      </c>
      <c r="Y318" s="4">
        <v>245</v>
      </c>
      <c r="Z318" s="3">
        <v>24.009999999999998</v>
      </c>
    </row>
    <row r="319" spans="1:26" x14ac:dyDescent="0.4">
      <c r="A319">
        <v>1373</v>
      </c>
      <c r="B319" s="2">
        <v>41985</v>
      </c>
      <c r="C319">
        <v>12</v>
      </c>
      <c r="D319" t="s">
        <v>51</v>
      </c>
      <c r="E319" t="s">
        <v>52</v>
      </c>
      <c r="F319" t="s">
        <v>28</v>
      </c>
      <c r="G319" t="s">
        <v>29</v>
      </c>
      <c r="H319">
        <v>99999</v>
      </c>
      <c r="I319" t="s">
        <v>30</v>
      </c>
      <c r="J319" t="s">
        <v>31</v>
      </c>
      <c r="K319" t="s">
        <v>32</v>
      </c>
      <c r="L319" s="2">
        <v>41987</v>
      </c>
      <c r="M319" t="s">
        <v>33</v>
      </c>
      <c r="N319" t="s">
        <v>53</v>
      </c>
      <c r="O319" t="s">
        <v>52</v>
      </c>
      <c r="P319" t="s">
        <v>28</v>
      </c>
      <c r="Q319" t="s">
        <v>29</v>
      </c>
      <c r="R319">
        <v>99999</v>
      </c>
      <c r="S319" t="s">
        <v>30</v>
      </c>
      <c r="T319" t="s">
        <v>48</v>
      </c>
      <c r="U319" t="s">
        <v>54</v>
      </c>
      <c r="V319" t="s">
        <v>37</v>
      </c>
      <c r="W319">
        <v>18</v>
      </c>
      <c r="X319">
        <v>57</v>
      </c>
      <c r="Y319" s="4">
        <v>1026</v>
      </c>
      <c r="Z319" s="3">
        <v>102.60000000000001</v>
      </c>
    </row>
    <row r="320" spans="1:26" x14ac:dyDescent="0.4">
      <c r="A320">
        <v>1374</v>
      </c>
      <c r="B320" s="2">
        <v>41985</v>
      </c>
      <c r="C320">
        <v>12</v>
      </c>
      <c r="D320" t="s">
        <v>51</v>
      </c>
      <c r="E320" t="s">
        <v>52</v>
      </c>
      <c r="F320" t="s">
        <v>28</v>
      </c>
      <c r="G320" t="s">
        <v>29</v>
      </c>
      <c r="H320">
        <v>99999</v>
      </c>
      <c r="I320" t="s">
        <v>30</v>
      </c>
      <c r="J320" t="s">
        <v>31</v>
      </c>
      <c r="K320" t="s">
        <v>32</v>
      </c>
      <c r="L320" s="2">
        <v>41987</v>
      </c>
      <c r="M320" t="s">
        <v>33</v>
      </c>
      <c r="N320" t="s">
        <v>53</v>
      </c>
      <c r="O320" t="s">
        <v>52</v>
      </c>
      <c r="P320" t="s">
        <v>28</v>
      </c>
      <c r="Q320" t="s">
        <v>29</v>
      </c>
      <c r="R320">
        <v>99999</v>
      </c>
      <c r="S320" t="s">
        <v>30</v>
      </c>
      <c r="T320" t="s">
        <v>48</v>
      </c>
      <c r="U320" t="s">
        <v>55</v>
      </c>
      <c r="V320" t="s">
        <v>37</v>
      </c>
      <c r="W320">
        <v>46</v>
      </c>
      <c r="X320">
        <v>83</v>
      </c>
      <c r="Y320" s="4">
        <v>3818</v>
      </c>
      <c r="Z320" s="3">
        <v>374.16399999999999</v>
      </c>
    </row>
    <row r="321" spans="1:26" x14ac:dyDescent="0.4">
      <c r="A321">
        <v>1375</v>
      </c>
      <c r="B321" s="2">
        <v>41981</v>
      </c>
      <c r="C321">
        <v>8</v>
      </c>
      <c r="D321" t="s">
        <v>56</v>
      </c>
      <c r="E321" t="s">
        <v>57</v>
      </c>
      <c r="F321" t="s">
        <v>58</v>
      </c>
      <c r="G321" t="s">
        <v>59</v>
      </c>
      <c r="H321">
        <v>99999</v>
      </c>
      <c r="I321" t="s">
        <v>30</v>
      </c>
      <c r="J321" t="s">
        <v>60</v>
      </c>
      <c r="K321" t="s">
        <v>61</v>
      </c>
      <c r="L321" s="2">
        <v>41983</v>
      </c>
      <c r="M321" t="s">
        <v>62</v>
      </c>
      <c r="N321" t="s">
        <v>63</v>
      </c>
      <c r="O321" t="s">
        <v>57</v>
      </c>
      <c r="P321" t="s">
        <v>58</v>
      </c>
      <c r="Q321" t="s">
        <v>59</v>
      </c>
      <c r="R321">
        <v>99999</v>
      </c>
      <c r="S321" t="s">
        <v>30</v>
      </c>
      <c r="T321" t="s">
        <v>48</v>
      </c>
      <c r="U321" t="s">
        <v>64</v>
      </c>
      <c r="V321" t="s">
        <v>65</v>
      </c>
      <c r="W321">
        <v>9.1999999999999993</v>
      </c>
      <c r="X321">
        <v>76</v>
      </c>
      <c r="Y321" s="4">
        <v>699.19999999999993</v>
      </c>
      <c r="Z321" s="3">
        <v>67.123199999999997</v>
      </c>
    </row>
    <row r="322" spans="1:26" x14ac:dyDescent="0.4">
      <c r="A322">
        <v>1376</v>
      </c>
      <c r="B322" s="2">
        <v>41977</v>
      </c>
      <c r="C322">
        <v>4</v>
      </c>
      <c r="D322" t="s">
        <v>40</v>
      </c>
      <c r="E322" t="s">
        <v>41</v>
      </c>
      <c r="F322" t="s">
        <v>42</v>
      </c>
      <c r="G322" t="s">
        <v>43</v>
      </c>
      <c r="H322">
        <v>99999</v>
      </c>
      <c r="I322" t="s">
        <v>30</v>
      </c>
      <c r="J322" t="s">
        <v>44</v>
      </c>
      <c r="K322" t="s">
        <v>45</v>
      </c>
      <c r="L322">
        <v>41979</v>
      </c>
      <c r="M322" t="s">
        <v>62</v>
      </c>
      <c r="N322" t="s">
        <v>47</v>
      </c>
      <c r="O322" t="s">
        <v>41</v>
      </c>
      <c r="P322" t="s">
        <v>42</v>
      </c>
      <c r="Q322" t="s">
        <v>43</v>
      </c>
      <c r="R322">
        <v>99999</v>
      </c>
      <c r="S322" t="s">
        <v>30</v>
      </c>
      <c r="T322" t="s">
        <v>35</v>
      </c>
      <c r="U322" t="s">
        <v>64</v>
      </c>
      <c r="V322" t="s">
        <v>65</v>
      </c>
      <c r="W322">
        <v>9.1999999999999993</v>
      </c>
      <c r="X322">
        <v>80</v>
      </c>
      <c r="Y322" s="4">
        <v>736</v>
      </c>
      <c r="Z322" s="3">
        <v>72.864000000000004</v>
      </c>
    </row>
    <row r="323" spans="1:26" x14ac:dyDescent="0.4">
      <c r="A323">
        <v>1377</v>
      </c>
      <c r="B323" s="2">
        <v>42002</v>
      </c>
      <c r="C323">
        <v>29</v>
      </c>
      <c r="D323" t="s">
        <v>66</v>
      </c>
      <c r="E323" t="s">
        <v>67</v>
      </c>
      <c r="F323" t="s">
        <v>68</v>
      </c>
      <c r="G323" t="s">
        <v>69</v>
      </c>
      <c r="H323">
        <v>99999</v>
      </c>
      <c r="I323" t="s">
        <v>30</v>
      </c>
      <c r="J323" t="s">
        <v>70</v>
      </c>
      <c r="K323" t="s">
        <v>32</v>
      </c>
      <c r="L323">
        <v>42004</v>
      </c>
      <c r="M323" t="s">
        <v>33</v>
      </c>
      <c r="N323" t="s">
        <v>71</v>
      </c>
      <c r="O323" t="s">
        <v>67</v>
      </c>
      <c r="P323" t="s">
        <v>68</v>
      </c>
      <c r="Q323" t="s">
        <v>69</v>
      </c>
      <c r="R323">
        <v>99999</v>
      </c>
      <c r="S323" t="s">
        <v>30</v>
      </c>
      <c r="T323" t="s">
        <v>35</v>
      </c>
      <c r="U323" t="s">
        <v>72</v>
      </c>
      <c r="V323" t="s">
        <v>73</v>
      </c>
      <c r="W323">
        <v>12.75</v>
      </c>
      <c r="X323">
        <v>47</v>
      </c>
      <c r="Y323" s="4">
        <v>599.25</v>
      </c>
      <c r="Z323" s="3">
        <v>59.325750000000006</v>
      </c>
    </row>
    <row r="324" spans="1:26" x14ac:dyDescent="0.4">
      <c r="A324">
        <v>1378</v>
      </c>
      <c r="B324" s="2">
        <v>41976</v>
      </c>
      <c r="C324">
        <v>3</v>
      </c>
      <c r="D324" t="s">
        <v>74</v>
      </c>
      <c r="E324" t="s">
        <v>75</v>
      </c>
      <c r="F324" t="s">
        <v>76</v>
      </c>
      <c r="G324" t="s">
        <v>77</v>
      </c>
      <c r="H324">
        <v>99999</v>
      </c>
      <c r="I324" t="s">
        <v>30</v>
      </c>
      <c r="J324" t="s">
        <v>31</v>
      </c>
      <c r="K324" t="s">
        <v>32</v>
      </c>
      <c r="L324">
        <v>41978</v>
      </c>
      <c r="M324" t="s">
        <v>33</v>
      </c>
      <c r="N324" t="s">
        <v>78</v>
      </c>
      <c r="O324" t="s">
        <v>75</v>
      </c>
      <c r="P324" t="s">
        <v>76</v>
      </c>
      <c r="Q324" t="s">
        <v>77</v>
      </c>
      <c r="R324">
        <v>99999</v>
      </c>
      <c r="S324" t="s">
        <v>30</v>
      </c>
      <c r="T324" t="s">
        <v>79</v>
      </c>
      <c r="U324" t="s">
        <v>80</v>
      </c>
      <c r="V324" t="s">
        <v>81</v>
      </c>
      <c r="W324">
        <v>9.65</v>
      </c>
      <c r="X324">
        <v>96</v>
      </c>
      <c r="Y324" s="4">
        <v>926.40000000000009</v>
      </c>
      <c r="Z324" s="3">
        <v>94.492800000000017</v>
      </c>
    </row>
    <row r="325" spans="1:26" x14ac:dyDescent="0.4">
      <c r="A325">
        <v>1379</v>
      </c>
      <c r="B325" s="2">
        <v>41979</v>
      </c>
      <c r="C325">
        <v>6</v>
      </c>
      <c r="D325" t="s">
        <v>82</v>
      </c>
      <c r="E325" t="s">
        <v>83</v>
      </c>
      <c r="F325" t="s">
        <v>84</v>
      </c>
      <c r="G325" t="s">
        <v>85</v>
      </c>
      <c r="H325">
        <v>99999</v>
      </c>
      <c r="I325" t="s">
        <v>30</v>
      </c>
      <c r="J325" t="s">
        <v>86</v>
      </c>
      <c r="K325" t="s">
        <v>61</v>
      </c>
      <c r="L325">
        <v>41981</v>
      </c>
      <c r="M325" t="s">
        <v>33</v>
      </c>
      <c r="N325" t="s">
        <v>87</v>
      </c>
      <c r="O325" t="s">
        <v>83</v>
      </c>
      <c r="P325" t="s">
        <v>84</v>
      </c>
      <c r="Q325" t="s">
        <v>85</v>
      </c>
      <c r="R325">
        <v>99999</v>
      </c>
      <c r="S325" t="s">
        <v>30</v>
      </c>
      <c r="T325" t="s">
        <v>48</v>
      </c>
      <c r="U325" t="s">
        <v>88</v>
      </c>
      <c r="V325" t="s">
        <v>89</v>
      </c>
      <c r="W325">
        <v>40</v>
      </c>
      <c r="X325">
        <v>32</v>
      </c>
      <c r="Y325" s="4">
        <v>1280</v>
      </c>
      <c r="Z325" s="3">
        <v>134.4</v>
      </c>
    </row>
    <row r="326" spans="1:26" x14ac:dyDescent="0.4">
      <c r="A326">
        <v>1380</v>
      </c>
      <c r="B326" s="2">
        <v>42001</v>
      </c>
      <c r="C326">
        <v>28</v>
      </c>
      <c r="D326" t="s">
        <v>90</v>
      </c>
      <c r="E326" t="s">
        <v>91</v>
      </c>
      <c r="F326" t="s">
        <v>92</v>
      </c>
      <c r="G326" t="s">
        <v>93</v>
      </c>
      <c r="H326">
        <v>99999</v>
      </c>
      <c r="I326" t="s">
        <v>30</v>
      </c>
      <c r="J326" t="s">
        <v>94</v>
      </c>
      <c r="K326" t="s">
        <v>95</v>
      </c>
      <c r="L326" s="2">
        <v>42003</v>
      </c>
      <c r="M326" t="s">
        <v>62</v>
      </c>
      <c r="N326" t="s">
        <v>96</v>
      </c>
      <c r="O326" t="s">
        <v>91</v>
      </c>
      <c r="P326" t="s">
        <v>92</v>
      </c>
      <c r="Q326" t="s">
        <v>93</v>
      </c>
      <c r="R326">
        <v>99999</v>
      </c>
      <c r="S326" t="s">
        <v>30</v>
      </c>
      <c r="T326" t="s">
        <v>35</v>
      </c>
      <c r="U326" t="s">
        <v>55</v>
      </c>
      <c r="V326" t="s">
        <v>37</v>
      </c>
      <c r="W326">
        <v>46</v>
      </c>
      <c r="X326">
        <v>16</v>
      </c>
      <c r="Y326" s="4">
        <v>736</v>
      </c>
      <c r="Z326" s="3">
        <v>73.600000000000009</v>
      </c>
    </row>
    <row r="327" spans="1:26" x14ac:dyDescent="0.4">
      <c r="A327">
        <v>1381</v>
      </c>
      <c r="B327" s="2">
        <v>41981</v>
      </c>
      <c r="C327">
        <v>8</v>
      </c>
      <c r="D327" t="s">
        <v>56</v>
      </c>
      <c r="E327" t="s">
        <v>57</v>
      </c>
      <c r="F327" t="s">
        <v>58</v>
      </c>
      <c r="G327" t="s">
        <v>59</v>
      </c>
      <c r="H327">
        <v>99999</v>
      </c>
      <c r="I327" t="s">
        <v>30</v>
      </c>
      <c r="J327" t="s">
        <v>60</v>
      </c>
      <c r="K327" t="s">
        <v>61</v>
      </c>
      <c r="L327" s="2">
        <v>41983</v>
      </c>
      <c r="M327" t="s">
        <v>62</v>
      </c>
      <c r="N327" t="s">
        <v>63</v>
      </c>
      <c r="O327" t="s">
        <v>57</v>
      </c>
      <c r="P327" t="s">
        <v>58</v>
      </c>
      <c r="Q327" t="s">
        <v>59</v>
      </c>
      <c r="R327">
        <v>99999</v>
      </c>
      <c r="S327" t="s">
        <v>30</v>
      </c>
      <c r="T327" t="s">
        <v>35</v>
      </c>
      <c r="U327" t="s">
        <v>72</v>
      </c>
      <c r="V327" t="s">
        <v>73</v>
      </c>
      <c r="W327">
        <v>12.75</v>
      </c>
      <c r="X327">
        <v>41</v>
      </c>
      <c r="Y327" s="4">
        <v>522.75</v>
      </c>
      <c r="Z327" s="3">
        <v>51.229500000000002</v>
      </c>
    </row>
    <row r="328" spans="1:26" x14ac:dyDescent="0.4">
      <c r="A328">
        <v>1382</v>
      </c>
      <c r="B328" s="2">
        <v>41983</v>
      </c>
      <c r="C328">
        <v>10</v>
      </c>
      <c r="D328" t="s">
        <v>97</v>
      </c>
      <c r="E328" t="s">
        <v>98</v>
      </c>
      <c r="F328" t="s">
        <v>99</v>
      </c>
      <c r="G328" t="s">
        <v>100</v>
      </c>
      <c r="H328">
        <v>99999</v>
      </c>
      <c r="I328" t="s">
        <v>30</v>
      </c>
      <c r="J328" t="s">
        <v>101</v>
      </c>
      <c r="K328" t="s">
        <v>45</v>
      </c>
      <c r="L328" s="2">
        <v>41985</v>
      </c>
      <c r="M328" t="s">
        <v>33</v>
      </c>
      <c r="N328" t="s">
        <v>102</v>
      </c>
      <c r="O328" t="s">
        <v>98</v>
      </c>
      <c r="P328" t="s">
        <v>99</v>
      </c>
      <c r="Q328" t="s">
        <v>100</v>
      </c>
      <c r="R328">
        <v>99999</v>
      </c>
      <c r="S328" t="s">
        <v>30</v>
      </c>
      <c r="T328" t="s">
        <v>48</v>
      </c>
      <c r="U328" t="s">
        <v>103</v>
      </c>
      <c r="V328" t="s">
        <v>37</v>
      </c>
      <c r="W328">
        <v>2.99</v>
      </c>
      <c r="X328">
        <v>41</v>
      </c>
      <c r="Y328" s="4">
        <v>122.59</v>
      </c>
      <c r="Z328" s="3">
        <v>12.871950000000002</v>
      </c>
    </row>
    <row r="329" spans="1:26" hidden="1" x14ac:dyDescent="0.4">
      <c r="A329">
        <v>1383</v>
      </c>
      <c r="B329" s="2">
        <v>41980</v>
      </c>
      <c r="C329">
        <v>7</v>
      </c>
      <c r="D329" t="s">
        <v>104</v>
      </c>
      <c r="E329" t="s">
        <v>105</v>
      </c>
      <c r="F329" t="s">
        <v>106</v>
      </c>
      <c r="G329" t="s">
        <v>107</v>
      </c>
      <c r="H329">
        <v>99999</v>
      </c>
      <c r="I329" t="s">
        <v>30</v>
      </c>
      <c r="J329" t="s">
        <v>60</v>
      </c>
      <c r="K329" t="s">
        <v>61</v>
      </c>
      <c r="L329" s="2"/>
      <c r="N329" t="s">
        <v>108</v>
      </c>
      <c r="O329" t="s">
        <v>105</v>
      </c>
      <c r="P329" t="s">
        <v>106</v>
      </c>
      <c r="Q329" t="s">
        <v>107</v>
      </c>
      <c r="R329">
        <v>99999</v>
      </c>
      <c r="S329" t="s">
        <v>30</v>
      </c>
      <c r="U329" t="s">
        <v>55</v>
      </c>
      <c r="V329" t="s">
        <v>37</v>
      </c>
      <c r="W329">
        <v>46</v>
      </c>
      <c r="X329">
        <v>41</v>
      </c>
      <c r="Y329" s="4">
        <v>1886</v>
      </c>
      <c r="Z329" s="3">
        <v>194.25800000000004</v>
      </c>
    </row>
    <row r="330" spans="1:26" hidden="1" x14ac:dyDescent="0.4">
      <c r="A330">
        <v>1384</v>
      </c>
      <c r="B330" s="2">
        <v>41983</v>
      </c>
      <c r="C330">
        <v>10</v>
      </c>
      <c r="D330" t="s">
        <v>97</v>
      </c>
      <c r="E330" t="s">
        <v>98</v>
      </c>
      <c r="F330" t="s">
        <v>99</v>
      </c>
      <c r="G330" t="s">
        <v>100</v>
      </c>
      <c r="H330">
        <v>99999</v>
      </c>
      <c r="I330" t="s">
        <v>30</v>
      </c>
      <c r="J330" t="s">
        <v>101</v>
      </c>
      <c r="K330" t="s">
        <v>45</v>
      </c>
      <c r="L330" s="2">
        <v>41985</v>
      </c>
      <c r="M330" t="s">
        <v>46</v>
      </c>
      <c r="N330" t="s">
        <v>102</v>
      </c>
      <c r="O330" t="s">
        <v>98</v>
      </c>
      <c r="P330" t="s">
        <v>99</v>
      </c>
      <c r="Q330" t="s">
        <v>100</v>
      </c>
      <c r="R330">
        <v>99999</v>
      </c>
      <c r="S330" t="s">
        <v>30</v>
      </c>
      <c r="U330" t="s">
        <v>109</v>
      </c>
      <c r="V330" t="s">
        <v>110</v>
      </c>
      <c r="W330" s="3">
        <v>25</v>
      </c>
      <c r="X330">
        <v>94</v>
      </c>
      <c r="Y330" s="4">
        <v>2350</v>
      </c>
      <c r="Z330" s="3">
        <v>235</v>
      </c>
    </row>
    <row r="331" spans="1:26" hidden="1" x14ac:dyDescent="0.4">
      <c r="A331">
        <v>1385</v>
      </c>
      <c r="B331" s="2">
        <v>41983</v>
      </c>
      <c r="C331">
        <v>10</v>
      </c>
      <c r="D331" t="s">
        <v>97</v>
      </c>
      <c r="E331" t="s">
        <v>98</v>
      </c>
      <c r="F331" t="s">
        <v>99</v>
      </c>
      <c r="G331" t="s">
        <v>100</v>
      </c>
      <c r="H331">
        <v>99999</v>
      </c>
      <c r="I331" t="s">
        <v>30</v>
      </c>
      <c r="J331" t="s">
        <v>101</v>
      </c>
      <c r="K331" t="s">
        <v>45</v>
      </c>
      <c r="L331" s="2">
        <v>41985</v>
      </c>
      <c r="M331" t="s">
        <v>46</v>
      </c>
      <c r="N331" t="s">
        <v>102</v>
      </c>
      <c r="O331" t="s">
        <v>98</v>
      </c>
      <c r="P331" t="s">
        <v>99</v>
      </c>
      <c r="Q331" t="s">
        <v>100</v>
      </c>
      <c r="R331">
        <v>99999</v>
      </c>
      <c r="S331" t="s">
        <v>30</v>
      </c>
      <c r="U331" t="s">
        <v>111</v>
      </c>
      <c r="V331" t="s">
        <v>112</v>
      </c>
      <c r="W331" s="3">
        <v>22</v>
      </c>
      <c r="X331">
        <v>20</v>
      </c>
      <c r="Y331" s="4">
        <v>440</v>
      </c>
      <c r="Z331" s="3">
        <v>46.2</v>
      </c>
    </row>
    <row r="332" spans="1:26" hidden="1" x14ac:dyDescent="0.4">
      <c r="A332">
        <v>1386</v>
      </c>
      <c r="B332" s="2">
        <v>41983</v>
      </c>
      <c r="C332">
        <v>10</v>
      </c>
      <c r="D332" t="s">
        <v>97</v>
      </c>
      <c r="E332" t="s">
        <v>98</v>
      </c>
      <c r="F332" t="s">
        <v>99</v>
      </c>
      <c r="G332" t="s">
        <v>100</v>
      </c>
      <c r="H332">
        <v>99999</v>
      </c>
      <c r="I332" t="s">
        <v>30</v>
      </c>
      <c r="J332" t="s">
        <v>101</v>
      </c>
      <c r="K332" t="s">
        <v>45</v>
      </c>
      <c r="L332">
        <v>41985</v>
      </c>
      <c r="M332" t="s">
        <v>46</v>
      </c>
      <c r="N332" t="s">
        <v>102</v>
      </c>
      <c r="O332" t="s">
        <v>98</v>
      </c>
      <c r="P332" t="s">
        <v>99</v>
      </c>
      <c r="Q332" t="s">
        <v>100</v>
      </c>
      <c r="R332">
        <v>99999</v>
      </c>
      <c r="S332" t="s">
        <v>30</v>
      </c>
      <c r="U332" t="s">
        <v>64</v>
      </c>
      <c r="V332" t="s">
        <v>65</v>
      </c>
      <c r="W332" s="3">
        <v>9.1999999999999993</v>
      </c>
      <c r="X332">
        <v>13</v>
      </c>
      <c r="Y332" s="4">
        <v>119.6</v>
      </c>
      <c r="Z332" s="3">
        <v>12.438400000000001</v>
      </c>
    </row>
    <row r="333" spans="1:26" hidden="1" x14ac:dyDescent="0.4">
      <c r="A333">
        <v>1387</v>
      </c>
      <c r="B333" s="2">
        <v>41984</v>
      </c>
      <c r="C333">
        <v>11</v>
      </c>
      <c r="D333" t="s">
        <v>113</v>
      </c>
      <c r="E333" t="s">
        <v>114</v>
      </c>
      <c r="F333" t="s">
        <v>115</v>
      </c>
      <c r="G333" t="s">
        <v>116</v>
      </c>
      <c r="H333">
        <v>99999</v>
      </c>
      <c r="I333" t="s">
        <v>30</v>
      </c>
      <c r="J333" t="s">
        <v>94</v>
      </c>
      <c r="K333" t="s">
        <v>95</v>
      </c>
      <c r="M333" t="s">
        <v>62</v>
      </c>
      <c r="N333" t="s">
        <v>117</v>
      </c>
      <c r="O333" t="s">
        <v>114</v>
      </c>
      <c r="P333" t="s">
        <v>115</v>
      </c>
      <c r="Q333" t="s">
        <v>116</v>
      </c>
      <c r="R333">
        <v>99999</v>
      </c>
      <c r="S333" t="s">
        <v>30</v>
      </c>
      <c r="U333" t="s">
        <v>38</v>
      </c>
      <c r="V333" t="s">
        <v>39</v>
      </c>
      <c r="W333" s="3">
        <v>3.5</v>
      </c>
      <c r="X333">
        <v>74</v>
      </c>
      <c r="Y333" s="4">
        <v>259</v>
      </c>
      <c r="Z333" s="3">
        <v>26.936000000000003</v>
      </c>
    </row>
    <row r="334" spans="1:26" hidden="1" x14ac:dyDescent="0.4">
      <c r="A334">
        <v>1388</v>
      </c>
      <c r="B334" s="2">
        <v>41984</v>
      </c>
      <c r="C334">
        <v>11</v>
      </c>
      <c r="D334" t="s">
        <v>113</v>
      </c>
      <c r="E334" t="s">
        <v>114</v>
      </c>
      <c r="F334" t="s">
        <v>115</v>
      </c>
      <c r="G334" t="s">
        <v>116</v>
      </c>
      <c r="H334">
        <v>99999</v>
      </c>
      <c r="I334" t="s">
        <v>30</v>
      </c>
      <c r="J334" t="s">
        <v>94</v>
      </c>
      <c r="K334" t="s">
        <v>95</v>
      </c>
      <c r="M334" t="s">
        <v>62</v>
      </c>
      <c r="N334" t="s">
        <v>117</v>
      </c>
      <c r="O334" t="s">
        <v>114</v>
      </c>
      <c r="P334" t="s">
        <v>115</v>
      </c>
      <c r="Q334" t="s">
        <v>116</v>
      </c>
      <c r="R334">
        <v>99999</v>
      </c>
      <c r="S334" t="s">
        <v>30</v>
      </c>
      <c r="U334" t="s">
        <v>103</v>
      </c>
      <c r="V334" t="s">
        <v>37</v>
      </c>
      <c r="W334" s="3">
        <v>2.99</v>
      </c>
      <c r="X334">
        <v>53</v>
      </c>
      <c r="Y334" s="4">
        <v>158.47</v>
      </c>
      <c r="Z334" s="3">
        <v>16.005470000000003</v>
      </c>
    </row>
    <row r="335" spans="1:26" hidden="1" x14ac:dyDescent="0.4">
      <c r="A335">
        <v>1389</v>
      </c>
      <c r="B335" s="2">
        <v>41974</v>
      </c>
      <c r="C335">
        <v>1</v>
      </c>
      <c r="D335" t="s">
        <v>118</v>
      </c>
      <c r="E335" t="s">
        <v>119</v>
      </c>
      <c r="F335" t="s">
        <v>120</v>
      </c>
      <c r="G335" t="s">
        <v>121</v>
      </c>
      <c r="H335">
        <v>99999</v>
      </c>
      <c r="I335" t="s">
        <v>30</v>
      </c>
      <c r="J335" t="s">
        <v>60</v>
      </c>
      <c r="K335" t="s">
        <v>61</v>
      </c>
      <c r="N335" t="s">
        <v>122</v>
      </c>
      <c r="O335" t="s">
        <v>119</v>
      </c>
      <c r="P335" t="s">
        <v>120</v>
      </c>
      <c r="Q335" t="s">
        <v>121</v>
      </c>
      <c r="R335">
        <v>99999</v>
      </c>
      <c r="S335" t="s">
        <v>30</v>
      </c>
      <c r="U335" t="s">
        <v>54</v>
      </c>
      <c r="V335" t="s">
        <v>37</v>
      </c>
      <c r="W335" s="3">
        <v>18</v>
      </c>
      <c r="X335">
        <v>99</v>
      </c>
      <c r="Y335" s="4">
        <v>1782</v>
      </c>
      <c r="Z335" s="3">
        <v>174.63600000000002</v>
      </c>
    </row>
    <row r="336" spans="1:26" hidden="1" x14ac:dyDescent="0.4">
      <c r="A336">
        <v>1390</v>
      </c>
      <c r="B336" s="2">
        <v>41974</v>
      </c>
      <c r="C336">
        <v>1</v>
      </c>
      <c r="D336" t="s">
        <v>118</v>
      </c>
      <c r="E336" t="s">
        <v>119</v>
      </c>
      <c r="F336" t="s">
        <v>120</v>
      </c>
      <c r="G336" t="s">
        <v>121</v>
      </c>
      <c r="H336">
        <v>99999</v>
      </c>
      <c r="I336" t="s">
        <v>30</v>
      </c>
      <c r="J336" t="s">
        <v>60</v>
      </c>
      <c r="K336" t="s">
        <v>61</v>
      </c>
      <c r="N336" t="s">
        <v>122</v>
      </c>
      <c r="O336" t="s">
        <v>119</v>
      </c>
      <c r="P336" t="s">
        <v>120</v>
      </c>
      <c r="Q336" t="s">
        <v>121</v>
      </c>
      <c r="R336">
        <v>99999</v>
      </c>
      <c r="S336" t="s">
        <v>30</v>
      </c>
      <c r="U336" t="s">
        <v>55</v>
      </c>
      <c r="V336" t="s">
        <v>37</v>
      </c>
      <c r="W336" s="3">
        <v>46</v>
      </c>
      <c r="X336">
        <v>89</v>
      </c>
      <c r="Y336" s="4">
        <v>4094</v>
      </c>
      <c r="Z336" s="3">
        <v>388.93</v>
      </c>
    </row>
    <row r="337" spans="1:26" hidden="1" x14ac:dyDescent="0.4">
      <c r="A337">
        <v>1391</v>
      </c>
      <c r="B337" s="2">
        <v>41974</v>
      </c>
      <c r="C337">
        <v>1</v>
      </c>
      <c r="D337" t="s">
        <v>118</v>
      </c>
      <c r="E337" t="s">
        <v>119</v>
      </c>
      <c r="F337" t="s">
        <v>120</v>
      </c>
      <c r="G337" t="s">
        <v>121</v>
      </c>
      <c r="H337">
        <v>99999</v>
      </c>
      <c r="I337" t="s">
        <v>30</v>
      </c>
      <c r="J337" t="s">
        <v>60</v>
      </c>
      <c r="K337" t="s">
        <v>61</v>
      </c>
      <c r="L337" s="2"/>
      <c r="N337" t="s">
        <v>122</v>
      </c>
      <c r="O337" t="s">
        <v>119</v>
      </c>
      <c r="P337" t="s">
        <v>120</v>
      </c>
      <c r="Q337" t="s">
        <v>121</v>
      </c>
      <c r="R337">
        <v>99999</v>
      </c>
      <c r="S337" t="s">
        <v>30</v>
      </c>
      <c r="U337" t="s">
        <v>103</v>
      </c>
      <c r="V337" t="s">
        <v>37</v>
      </c>
      <c r="W337" s="3">
        <v>2.99</v>
      </c>
      <c r="X337">
        <v>64</v>
      </c>
      <c r="Y337" s="4">
        <v>191.36</v>
      </c>
      <c r="Z337" s="3">
        <v>19.518720000000002</v>
      </c>
    </row>
    <row r="338" spans="1:26" x14ac:dyDescent="0.4">
      <c r="A338">
        <v>1392</v>
      </c>
      <c r="B338" s="2">
        <v>42001</v>
      </c>
      <c r="C338">
        <v>28</v>
      </c>
      <c r="D338" t="s">
        <v>90</v>
      </c>
      <c r="E338" t="s">
        <v>91</v>
      </c>
      <c r="F338" t="s">
        <v>92</v>
      </c>
      <c r="G338" t="s">
        <v>93</v>
      </c>
      <c r="H338">
        <v>99999</v>
      </c>
      <c r="I338" t="s">
        <v>30</v>
      </c>
      <c r="J338" t="s">
        <v>94</v>
      </c>
      <c r="K338" t="s">
        <v>95</v>
      </c>
      <c r="L338" s="2">
        <v>42003</v>
      </c>
      <c r="M338" t="s">
        <v>62</v>
      </c>
      <c r="N338" t="s">
        <v>96</v>
      </c>
      <c r="O338" t="s">
        <v>91</v>
      </c>
      <c r="P338" t="s">
        <v>92</v>
      </c>
      <c r="Q338" t="s">
        <v>93</v>
      </c>
      <c r="R338">
        <v>99999</v>
      </c>
      <c r="S338" t="s">
        <v>30</v>
      </c>
      <c r="T338" t="s">
        <v>48</v>
      </c>
      <c r="U338" t="s">
        <v>80</v>
      </c>
      <c r="V338" t="s">
        <v>81</v>
      </c>
      <c r="W338" s="3">
        <v>9.65</v>
      </c>
      <c r="X338">
        <v>98</v>
      </c>
      <c r="Y338" s="4">
        <v>945.7</v>
      </c>
      <c r="Z338" s="3">
        <v>96.461400000000012</v>
      </c>
    </row>
    <row r="339" spans="1:26" x14ac:dyDescent="0.4">
      <c r="A339">
        <v>1393</v>
      </c>
      <c r="B339" s="2">
        <v>42001</v>
      </c>
      <c r="C339">
        <v>28</v>
      </c>
      <c r="D339" t="s">
        <v>90</v>
      </c>
      <c r="E339" t="s">
        <v>91</v>
      </c>
      <c r="F339" t="s">
        <v>92</v>
      </c>
      <c r="G339" t="s">
        <v>93</v>
      </c>
      <c r="H339">
        <v>99999</v>
      </c>
      <c r="I339" t="s">
        <v>30</v>
      </c>
      <c r="J339" t="s">
        <v>94</v>
      </c>
      <c r="K339" t="s">
        <v>95</v>
      </c>
      <c r="L339" s="2">
        <v>42003</v>
      </c>
      <c r="M339" t="s">
        <v>62</v>
      </c>
      <c r="N339" t="s">
        <v>96</v>
      </c>
      <c r="O339" t="s">
        <v>91</v>
      </c>
      <c r="P339" t="s">
        <v>92</v>
      </c>
      <c r="Q339" t="s">
        <v>93</v>
      </c>
      <c r="R339">
        <v>99999</v>
      </c>
      <c r="S339" t="s">
        <v>30</v>
      </c>
      <c r="T339" t="s">
        <v>48</v>
      </c>
      <c r="U339" t="s">
        <v>123</v>
      </c>
      <c r="V339" t="s">
        <v>124</v>
      </c>
      <c r="W339" s="3">
        <v>18.399999999999999</v>
      </c>
      <c r="X339">
        <v>86</v>
      </c>
      <c r="Y339" s="4">
        <v>1582.3999999999999</v>
      </c>
      <c r="Z339" s="3">
        <v>155.0752</v>
      </c>
    </row>
    <row r="340" spans="1:26" x14ac:dyDescent="0.4">
      <c r="A340">
        <v>1394</v>
      </c>
      <c r="B340" s="2">
        <v>41982</v>
      </c>
      <c r="C340">
        <v>9</v>
      </c>
      <c r="D340" t="s">
        <v>125</v>
      </c>
      <c r="E340" t="s">
        <v>126</v>
      </c>
      <c r="F340" t="s">
        <v>127</v>
      </c>
      <c r="G340" t="s">
        <v>128</v>
      </c>
      <c r="H340">
        <v>99999</v>
      </c>
      <c r="I340" t="s">
        <v>30</v>
      </c>
      <c r="J340" t="s">
        <v>129</v>
      </c>
      <c r="K340" t="s">
        <v>32</v>
      </c>
      <c r="L340" s="2">
        <v>41984</v>
      </c>
      <c r="M340" t="s">
        <v>46</v>
      </c>
      <c r="N340" t="s">
        <v>130</v>
      </c>
      <c r="O340" t="s">
        <v>126</v>
      </c>
      <c r="P340" t="s">
        <v>127</v>
      </c>
      <c r="Q340" t="s">
        <v>128</v>
      </c>
      <c r="R340">
        <v>99999</v>
      </c>
      <c r="S340" t="s">
        <v>30</v>
      </c>
      <c r="T340" t="s">
        <v>35</v>
      </c>
      <c r="U340" t="s">
        <v>131</v>
      </c>
      <c r="V340" t="s">
        <v>132</v>
      </c>
      <c r="W340" s="3">
        <v>19.5</v>
      </c>
      <c r="X340">
        <v>20</v>
      </c>
      <c r="Y340" s="4">
        <v>390</v>
      </c>
      <c r="Z340" s="3">
        <v>40.950000000000003</v>
      </c>
    </row>
    <row r="341" spans="1:26" x14ac:dyDescent="0.4">
      <c r="A341">
        <v>1395</v>
      </c>
      <c r="B341" s="2">
        <v>41982</v>
      </c>
      <c r="C341">
        <v>9</v>
      </c>
      <c r="D341" t="s">
        <v>125</v>
      </c>
      <c r="E341" t="s">
        <v>126</v>
      </c>
      <c r="F341" t="s">
        <v>127</v>
      </c>
      <c r="G341" t="s">
        <v>128</v>
      </c>
      <c r="H341">
        <v>99999</v>
      </c>
      <c r="I341" t="s">
        <v>30</v>
      </c>
      <c r="J341" t="s">
        <v>129</v>
      </c>
      <c r="K341" t="s">
        <v>32</v>
      </c>
      <c r="L341" s="2">
        <v>41984</v>
      </c>
      <c r="M341" t="s">
        <v>46</v>
      </c>
      <c r="N341" t="s">
        <v>130</v>
      </c>
      <c r="O341" t="s">
        <v>126</v>
      </c>
      <c r="P341" t="s">
        <v>127</v>
      </c>
      <c r="Q341" t="s">
        <v>128</v>
      </c>
      <c r="R341">
        <v>99999</v>
      </c>
      <c r="S341" t="s">
        <v>30</v>
      </c>
      <c r="T341" t="s">
        <v>35</v>
      </c>
      <c r="U341" t="s">
        <v>133</v>
      </c>
      <c r="V341" t="s">
        <v>134</v>
      </c>
      <c r="W341" s="3">
        <v>34.799999999999997</v>
      </c>
      <c r="X341">
        <v>69</v>
      </c>
      <c r="Y341" s="4">
        <v>2401.1999999999998</v>
      </c>
      <c r="Z341" s="3">
        <v>240.12</v>
      </c>
    </row>
    <row r="342" spans="1:26" x14ac:dyDescent="0.4">
      <c r="A342">
        <v>1396</v>
      </c>
      <c r="B342" s="2">
        <v>41979</v>
      </c>
      <c r="C342">
        <v>6</v>
      </c>
      <c r="D342" t="s">
        <v>82</v>
      </c>
      <c r="E342" t="s">
        <v>83</v>
      </c>
      <c r="F342" t="s">
        <v>84</v>
      </c>
      <c r="G342" t="s">
        <v>85</v>
      </c>
      <c r="H342">
        <v>99999</v>
      </c>
      <c r="I342" t="s">
        <v>30</v>
      </c>
      <c r="J342" t="s">
        <v>86</v>
      </c>
      <c r="K342" t="s">
        <v>61</v>
      </c>
      <c r="L342" s="2">
        <v>41981</v>
      </c>
      <c r="M342" t="s">
        <v>33</v>
      </c>
      <c r="N342" t="s">
        <v>87</v>
      </c>
      <c r="O342" t="s">
        <v>83</v>
      </c>
      <c r="P342" t="s">
        <v>84</v>
      </c>
      <c r="Q342" t="s">
        <v>85</v>
      </c>
      <c r="R342">
        <v>99999</v>
      </c>
      <c r="S342" t="s">
        <v>30</v>
      </c>
      <c r="T342" t="s">
        <v>48</v>
      </c>
      <c r="U342" t="s">
        <v>36</v>
      </c>
      <c r="V342" t="s">
        <v>37</v>
      </c>
      <c r="W342" s="3">
        <v>14</v>
      </c>
      <c r="X342">
        <v>68</v>
      </c>
      <c r="Y342" s="4">
        <v>952</v>
      </c>
      <c r="Z342" s="3">
        <v>91.391999999999996</v>
      </c>
    </row>
    <row r="343" spans="1:26" x14ac:dyDescent="0.4">
      <c r="A343">
        <v>1397</v>
      </c>
      <c r="B343" s="2">
        <v>41981</v>
      </c>
      <c r="C343">
        <v>8</v>
      </c>
      <c r="D343" t="s">
        <v>56</v>
      </c>
      <c r="E343" t="s">
        <v>57</v>
      </c>
      <c r="F343" t="s">
        <v>58</v>
      </c>
      <c r="G343" t="s">
        <v>59</v>
      </c>
      <c r="H343">
        <v>99999</v>
      </c>
      <c r="I343" t="s">
        <v>30</v>
      </c>
      <c r="J343" t="s">
        <v>60</v>
      </c>
      <c r="K343" t="s">
        <v>61</v>
      </c>
      <c r="L343" s="2">
        <v>41983</v>
      </c>
      <c r="M343" t="s">
        <v>33</v>
      </c>
      <c r="N343" t="s">
        <v>63</v>
      </c>
      <c r="O343" t="s">
        <v>57</v>
      </c>
      <c r="P343" t="s">
        <v>58</v>
      </c>
      <c r="Q343" t="s">
        <v>59</v>
      </c>
      <c r="R343">
        <v>99999</v>
      </c>
      <c r="S343" t="s">
        <v>30</v>
      </c>
      <c r="T343" t="s">
        <v>35</v>
      </c>
      <c r="U343" t="s">
        <v>88</v>
      </c>
      <c r="V343" t="s">
        <v>89</v>
      </c>
      <c r="W343" s="3">
        <v>40</v>
      </c>
      <c r="X343">
        <v>52</v>
      </c>
      <c r="Y343" s="4">
        <v>2080</v>
      </c>
      <c r="Z343" s="3">
        <v>203.84</v>
      </c>
    </row>
    <row r="344" spans="1:26" x14ac:dyDescent="0.4">
      <c r="A344">
        <v>1398</v>
      </c>
      <c r="B344" s="2">
        <v>41981</v>
      </c>
      <c r="C344">
        <v>8</v>
      </c>
      <c r="D344" t="s">
        <v>56</v>
      </c>
      <c r="E344" t="s">
        <v>57</v>
      </c>
      <c r="F344" t="s">
        <v>58</v>
      </c>
      <c r="G344" t="s">
        <v>59</v>
      </c>
      <c r="H344">
        <v>99999</v>
      </c>
      <c r="I344" t="s">
        <v>30</v>
      </c>
      <c r="J344" t="s">
        <v>60</v>
      </c>
      <c r="K344" t="s">
        <v>61</v>
      </c>
      <c r="L344" s="2">
        <v>41983</v>
      </c>
      <c r="M344" t="s">
        <v>33</v>
      </c>
      <c r="N344" t="s">
        <v>63</v>
      </c>
      <c r="O344" t="s">
        <v>57</v>
      </c>
      <c r="P344" t="s">
        <v>58</v>
      </c>
      <c r="Q344" t="s">
        <v>59</v>
      </c>
      <c r="R344">
        <v>99999</v>
      </c>
      <c r="S344" t="s">
        <v>30</v>
      </c>
      <c r="T344" t="s">
        <v>35</v>
      </c>
      <c r="U344" t="s">
        <v>64</v>
      </c>
      <c r="V344" t="s">
        <v>65</v>
      </c>
      <c r="W344" s="3">
        <v>9.1999999999999993</v>
      </c>
      <c r="X344">
        <v>40</v>
      </c>
      <c r="Y344" s="4">
        <v>368</v>
      </c>
      <c r="Z344" s="3">
        <v>38.640000000000008</v>
      </c>
    </row>
    <row r="345" spans="1:26" x14ac:dyDescent="0.4">
      <c r="A345">
        <v>1399</v>
      </c>
      <c r="B345" s="2">
        <v>41998</v>
      </c>
      <c r="C345">
        <v>25</v>
      </c>
      <c r="D345" t="s">
        <v>137</v>
      </c>
      <c r="E345" t="s">
        <v>138</v>
      </c>
      <c r="F345" t="s">
        <v>99</v>
      </c>
      <c r="G345" t="s">
        <v>100</v>
      </c>
      <c r="H345">
        <v>99999</v>
      </c>
      <c r="I345" t="s">
        <v>30</v>
      </c>
      <c r="J345" t="s">
        <v>101</v>
      </c>
      <c r="K345" t="s">
        <v>45</v>
      </c>
      <c r="L345" s="2">
        <v>42000</v>
      </c>
      <c r="M345" t="s">
        <v>46</v>
      </c>
      <c r="N345" t="s">
        <v>139</v>
      </c>
      <c r="O345" t="s">
        <v>138</v>
      </c>
      <c r="P345" t="s">
        <v>99</v>
      </c>
      <c r="Q345" t="s">
        <v>100</v>
      </c>
      <c r="R345">
        <v>99999</v>
      </c>
      <c r="S345" t="s">
        <v>30</v>
      </c>
      <c r="T345" t="s">
        <v>79</v>
      </c>
      <c r="U345" t="s">
        <v>146</v>
      </c>
      <c r="V345" t="s">
        <v>65</v>
      </c>
      <c r="W345" s="3">
        <v>10</v>
      </c>
      <c r="X345">
        <v>100</v>
      </c>
      <c r="Y345" s="4">
        <v>1000</v>
      </c>
      <c r="Z345" s="3">
        <v>98</v>
      </c>
    </row>
    <row r="346" spans="1:26" x14ac:dyDescent="0.4">
      <c r="A346">
        <v>1400</v>
      </c>
      <c r="B346" s="2">
        <v>41999</v>
      </c>
      <c r="C346">
        <v>26</v>
      </c>
      <c r="D346" t="s">
        <v>140</v>
      </c>
      <c r="E346" t="s">
        <v>141</v>
      </c>
      <c r="F346" t="s">
        <v>115</v>
      </c>
      <c r="G346" t="s">
        <v>116</v>
      </c>
      <c r="H346">
        <v>99999</v>
      </c>
      <c r="I346" t="s">
        <v>30</v>
      </c>
      <c r="J346" t="s">
        <v>94</v>
      </c>
      <c r="K346" t="s">
        <v>95</v>
      </c>
      <c r="L346" s="2">
        <v>42001</v>
      </c>
      <c r="M346" t="s">
        <v>62</v>
      </c>
      <c r="N346" t="s">
        <v>142</v>
      </c>
      <c r="O346" t="s">
        <v>141</v>
      </c>
      <c r="P346" t="s">
        <v>115</v>
      </c>
      <c r="Q346" t="s">
        <v>116</v>
      </c>
      <c r="R346">
        <v>99999</v>
      </c>
      <c r="S346" t="s">
        <v>30</v>
      </c>
      <c r="T346" t="s">
        <v>48</v>
      </c>
      <c r="U346" t="s">
        <v>147</v>
      </c>
      <c r="V346" t="s">
        <v>148</v>
      </c>
      <c r="W346" s="3">
        <v>21.35</v>
      </c>
      <c r="X346">
        <v>88</v>
      </c>
      <c r="Y346" s="4">
        <v>1878.8000000000002</v>
      </c>
      <c r="Z346" s="3">
        <v>184.12240000000003</v>
      </c>
    </row>
    <row r="347" spans="1:26" x14ac:dyDescent="0.4">
      <c r="A347">
        <v>1401</v>
      </c>
      <c r="B347" s="2">
        <v>41999</v>
      </c>
      <c r="C347">
        <v>26</v>
      </c>
      <c r="D347" t="s">
        <v>140</v>
      </c>
      <c r="E347" t="s">
        <v>141</v>
      </c>
      <c r="F347" t="s">
        <v>115</v>
      </c>
      <c r="G347" t="s">
        <v>116</v>
      </c>
      <c r="H347">
        <v>99999</v>
      </c>
      <c r="I347" t="s">
        <v>30</v>
      </c>
      <c r="J347" t="s">
        <v>94</v>
      </c>
      <c r="K347" t="s">
        <v>95</v>
      </c>
      <c r="L347" s="2">
        <v>42001</v>
      </c>
      <c r="M347" t="s">
        <v>62</v>
      </c>
      <c r="N347" t="s">
        <v>142</v>
      </c>
      <c r="O347" t="s">
        <v>141</v>
      </c>
      <c r="P347" t="s">
        <v>115</v>
      </c>
      <c r="Q347" t="s">
        <v>116</v>
      </c>
      <c r="R347">
        <v>99999</v>
      </c>
      <c r="S347" t="s">
        <v>30</v>
      </c>
      <c r="T347" t="s">
        <v>48</v>
      </c>
      <c r="U347" t="s">
        <v>80</v>
      </c>
      <c r="V347" t="s">
        <v>81</v>
      </c>
      <c r="W347" s="3">
        <v>9.65</v>
      </c>
      <c r="X347">
        <v>46</v>
      </c>
      <c r="Y347" s="4">
        <v>443.90000000000003</v>
      </c>
      <c r="Z347" s="3">
        <v>42.614400000000003</v>
      </c>
    </row>
    <row r="348" spans="1:26" x14ac:dyDescent="0.4">
      <c r="A348">
        <v>1402</v>
      </c>
      <c r="B348" s="2">
        <v>41999</v>
      </c>
      <c r="C348">
        <v>26</v>
      </c>
      <c r="D348" t="s">
        <v>140</v>
      </c>
      <c r="E348" t="s">
        <v>141</v>
      </c>
      <c r="F348" t="s">
        <v>115</v>
      </c>
      <c r="G348" t="s">
        <v>116</v>
      </c>
      <c r="H348">
        <v>99999</v>
      </c>
      <c r="I348" t="s">
        <v>30</v>
      </c>
      <c r="J348" t="s">
        <v>94</v>
      </c>
      <c r="K348" t="s">
        <v>95</v>
      </c>
      <c r="L348" s="2">
        <v>42001</v>
      </c>
      <c r="M348" t="s">
        <v>62</v>
      </c>
      <c r="N348" t="s">
        <v>142</v>
      </c>
      <c r="O348" t="s">
        <v>141</v>
      </c>
      <c r="P348" t="s">
        <v>115</v>
      </c>
      <c r="Q348" t="s">
        <v>116</v>
      </c>
      <c r="R348">
        <v>99999</v>
      </c>
      <c r="S348" t="s">
        <v>30</v>
      </c>
      <c r="T348" t="s">
        <v>48</v>
      </c>
      <c r="U348" t="s">
        <v>123</v>
      </c>
      <c r="V348" t="s">
        <v>124</v>
      </c>
      <c r="W348" s="3">
        <v>18.399999999999999</v>
      </c>
      <c r="X348">
        <v>93</v>
      </c>
      <c r="Y348" s="4">
        <v>1711.1999999999998</v>
      </c>
      <c r="Z348" s="3">
        <v>167.69759999999999</v>
      </c>
    </row>
    <row r="349" spans="1:26" x14ac:dyDescent="0.4">
      <c r="A349">
        <v>1403</v>
      </c>
      <c r="B349" s="2">
        <v>42002</v>
      </c>
      <c r="C349">
        <v>29</v>
      </c>
      <c r="D349" t="s">
        <v>66</v>
      </c>
      <c r="E349" t="s">
        <v>67</v>
      </c>
      <c r="F349" t="s">
        <v>68</v>
      </c>
      <c r="G349" t="s">
        <v>69</v>
      </c>
      <c r="H349">
        <v>99999</v>
      </c>
      <c r="I349" t="s">
        <v>30</v>
      </c>
      <c r="J349" t="s">
        <v>70</v>
      </c>
      <c r="K349" t="s">
        <v>32</v>
      </c>
      <c r="L349" s="2">
        <v>42004</v>
      </c>
      <c r="M349" t="s">
        <v>33</v>
      </c>
      <c r="N349" t="s">
        <v>71</v>
      </c>
      <c r="O349" t="s">
        <v>67</v>
      </c>
      <c r="P349" t="s">
        <v>68</v>
      </c>
      <c r="Q349" t="s">
        <v>69</v>
      </c>
      <c r="R349">
        <v>99999</v>
      </c>
      <c r="S349" t="s">
        <v>30</v>
      </c>
      <c r="T349" t="s">
        <v>35</v>
      </c>
      <c r="U349" t="s">
        <v>36</v>
      </c>
      <c r="V349" t="s">
        <v>37</v>
      </c>
      <c r="W349" s="3">
        <v>14</v>
      </c>
      <c r="X349">
        <v>96</v>
      </c>
      <c r="Y349" s="4">
        <v>1344</v>
      </c>
      <c r="Z349" s="3">
        <v>141.12</v>
      </c>
    </row>
    <row r="350" spans="1:26" x14ac:dyDescent="0.4">
      <c r="A350">
        <v>1404</v>
      </c>
      <c r="B350" s="2">
        <v>41979</v>
      </c>
      <c r="C350">
        <v>6</v>
      </c>
      <c r="D350" t="s">
        <v>82</v>
      </c>
      <c r="E350" t="s">
        <v>83</v>
      </c>
      <c r="F350" t="s">
        <v>84</v>
      </c>
      <c r="G350" t="s">
        <v>85</v>
      </c>
      <c r="H350">
        <v>99999</v>
      </c>
      <c r="I350" t="s">
        <v>30</v>
      </c>
      <c r="J350" t="s">
        <v>86</v>
      </c>
      <c r="K350" t="s">
        <v>61</v>
      </c>
      <c r="L350" s="2">
        <v>41981</v>
      </c>
      <c r="M350" t="s">
        <v>62</v>
      </c>
      <c r="N350" t="s">
        <v>87</v>
      </c>
      <c r="O350" t="s">
        <v>83</v>
      </c>
      <c r="P350" t="s">
        <v>84</v>
      </c>
      <c r="Q350" t="s">
        <v>85</v>
      </c>
      <c r="R350">
        <v>99999</v>
      </c>
      <c r="S350" t="s">
        <v>30</v>
      </c>
      <c r="T350" t="s">
        <v>35</v>
      </c>
      <c r="U350" t="s">
        <v>72</v>
      </c>
      <c r="V350" t="s">
        <v>73</v>
      </c>
      <c r="W350">
        <v>12.75</v>
      </c>
      <c r="X350">
        <v>12</v>
      </c>
      <c r="Y350" s="4">
        <v>153</v>
      </c>
      <c r="Z350" s="3">
        <v>16.065000000000001</v>
      </c>
    </row>
    <row r="351" spans="1:26" x14ac:dyDescent="0.4">
      <c r="A351">
        <v>1406</v>
      </c>
      <c r="B351" s="2">
        <v>41977</v>
      </c>
      <c r="C351">
        <v>4</v>
      </c>
      <c r="D351" t="s">
        <v>40</v>
      </c>
      <c r="E351" t="s">
        <v>41</v>
      </c>
      <c r="F351" t="s">
        <v>42</v>
      </c>
      <c r="G351" t="s">
        <v>43</v>
      </c>
      <c r="H351">
        <v>99999</v>
      </c>
      <c r="I351" t="s">
        <v>30</v>
      </c>
      <c r="J351" t="s">
        <v>44</v>
      </c>
      <c r="K351" t="s">
        <v>45</v>
      </c>
      <c r="L351" s="2">
        <v>41979</v>
      </c>
      <c r="M351" t="s">
        <v>46</v>
      </c>
      <c r="N351" t="s">
        <v>47</v>
      </c>
      <c r="O351" t="s">
        <v>41</v>
      </c>
      <c r="P351" t="s">
        <v>42</v>
      </c>
      <c r="Q351" t="s">
        <v>43</v>
      </c>
      <c r="R351">
        <v>99999</v>
      </c>
      <c r="S351" t="s">
        <v>30</v>
      </c>
      <c r="T351" t="s">
        <v>48</v>
      </c>
      <c r="U351" t="s">
        <v>149</v>
      </c>
      <c r="V351" t="s">
        <v>110</v>
      </c>
      <c r="W351">
        <v>81</v>
      </c>
      <c r="X351">
        <v>38</v>
      </c>
      <c r="Y351" s="4">
        <v>3078</v>
      </c>
      <c r="Z351" s="3">
        <v>292.41000000000003</v>
      </c>
    </row>
    <row r="352" spans="1:26" x14ac:dyDescent="0.4">
      <c r="A352">
        <v>1407</v>
      </c>
      <c r="B352" s="2">
        <v>41977</v>
      </c>
      <c r="C352">
        <v>4</v>
      </c>
      <c r="D352" t="s">
        <v>40</v>
      </c>
      <c r="E352" t="s">
        <v>41</v>
      </c>
      <c r="F352" t="s">
        <v>42</v>
      </c>
      <c r="G352" t="s">
        <v>43</v>
      </c>
      <c r="H352">
        <v>99999</v>
      </c>
      <c r="I352" t="s">
        <v>30</v>
      </c>
      <c r="J352" t="s">
        <v>44</v>
      </c>
      <c r="K352" t="s">
        <v>45</v>
      </c>
      <c r="L352" s="2">
        <v>41979</v>
      </c>
      <c r="M352" t="s">
        <v>46</v>
      </c>
      <c r="N352" t="s">
        <v>47</v>
      </c>
      <c r="O352" t="s">
        <v>41</v>
      </c>
      <c r="P352" t="s">
        <v>42</v>
      </c>
      <c r="Q352" t="s">
        <v>43</v>
      </c>
      <c r="R352">
        <v>99999</v>
      </c>
      <c r="S352" t="s">
        <v>30</v>
      </c>
      <c r="T352" t="s">
        <v>48</v>
      </c>
      <c r="U352" t="s">
        <v>150</v>
      </c>
      <c r="V352" t="s">
        <v>151</v>
      </c>
      <c r="W352">
        <v>7</v>
      </c>
      <c r="X352">
        <v>42</v>
      </c>
      <c r="Y352" s="4">
        <v>294</v>
      </c>
      <c r="Z352" s="3">
        <v>29.106000000000002</v>
      </c>
    </row>
    <row r="353" spans="1:26" x14ac:dyDescent="0.4">
      <c r="A353">
        <v>1409</v>
      </c>
      <c r="B353" s="2">
        <v>41981</v>
      </c>
      <c r="C353">
        <v>8</v>
      </c>
      <c r="D353" t="s">
        <v>56</v>
      </c>
      <c r="E353" t="s">
        <v>57</v>
      </c>
      <c r="F353" t="s">
        <v>58</v>
      </c>
      <c r="G353" t="s">
        <v>59</v>
      </c>
      <c r="H353">
        <v>99999</v>
      </c>
      <c r="I353" t="s">
        <v>30</v>
      </c>
      <c r="J353" t="s">
        <v>60</v>
      </c>
      <c r="K353" t="s">
        <v>61</v>
      </c>
      <c r="L353" s="2">
        <v>41983</v>
      </c>
      <c r="M353" t="s">
        <v>62</v>
      </c>
      <c r="N353" t="s">
        <v>63</v>
      </c>
      <c r="O353" t="s">
        <v>57</v>
      </c>
      <c r="P353" t="s">
        <v>58</v>
      </c>
      <c r="Q353" t="s">
        <v>59</v>
      </c>
      <c r="R353">
        <v>99999</v>
      </c>
      <c r="S353" t="s">
        <v>30</v>
      </c>
      <c r="T353" t="s">
        <v>48</v>
      </c>
      <c r="U353" t="s">
        <v>133</v>
      </c>
      <c r="V353" t="s">
        <v>134</v>
      </c>
      <c r="W353">
        <v>34.799999999999997</v>
      </c>
      <c r="X353">
        <v>100</v>
      </c>
      <c r="Y353" s="4">
        <v>3479.9999999999995</v>
      </c>
      <c r="Z353" s="3">
        <v>344.52</v>
      </c>
    </row>
    <row r="354" spans="1:26" x14ac:dyDescent="0.4">
      <c r="A354">
        <v>1412</v>
      </c>
      <c r="B354" s="2">
        <v>41976</v>
      </c>
      <c r="C354">
        <v>3</v>
      </c>
      <c r="D354" t="s">
        <v>74</v>
      </c>
      <c r="E354" t="s">
        <v>75</v>
      </c>
      <c r="F354" t="s">
        <v>76</v>
      </c>
      <c r="G354" t="s">
        <v>77</v>
      </c>
      <c r="H354">
        <v>99999</v>
      </c>
      <c r="I354" t="s">
        <v>30</v>
      </c>
      <c r="J354" t="s">
        <v>31</v>
      </c>
      <c r="K354" t="s">
        <v>32</v>
      </c>
      <c r="L354" s="2">
        <v>41978</v>
      </c>
      <c r="M354" t="s">
        <v>33</v>
      </c>
      <c r="N354" t="s">
        <v>78</v>
      </c>
      <c r="O354" t="s">
        <v>75</v>
      </c>
      <c r="P354" t="s">
        <v>76</v>
      </c>
      <c r="Q354" t="s">
        <v>77</v>
      </c>
      <c r="R354">
        <v>99999</v>
      </c>
      <c r="S354" t="s">
        <v>30</v>
      </c>
      <c r="T354" t="s">
        <v>79</v>
      </c>
      <c r="U354" t="s">
        <v>135</v>
      </c>
      <c r="V354" t="s">
        <v>112</v>
      </c>
      <c r="W354">
        <v>10</v>
      </c>
      <c r="X354">
        <v>89</v>
      </c>
      <c r="Y354" s="4">
        <v>890</v>
      </c>
      <c r="Z354" s="3">
        <v>87.22</v>
      </c>
    </row>
    <row r="355" spans="1:26" x14ac:dyDescent="0.4">
      <c r="A355">
        <v>1413</v>
      </c>
      <c r="B355" s="2">
        <v>41976</v>
      </c>
      <c r="C355">
        <v>3</v>
      </c>
      <c r="D355" t="s">
        <v>74</v>
      </c>
      <c r="E355" t="s">
        <v>75</v>
      </c>
      <c r="F355" t="s">
        <v>76</v>
      </c>
      <c r="G355" t="s">
        <v>77</v>
      </c>
      <c r="H355">
        <v>99999</v>
      </c>
      <c r="I355" t="s">
        <v>30</v>
      </c>
      <c r="J355" t="s">
        <v>31</v>
      </c>
      <c r="K355" t="s">
        <v>32</v>
      </c>
      <c r="L355" s="2">
        <v>41978</v>
      </c>
      <c r="M355" t="s">
        <v>33</v>
      </c>
      <c r="N355" t="s">
        <v>78</v>
      </c>
      <c r="O355" t="s">
        <v>75</v>
      </c>
      <c r="P355" t="s">
        <v>76</v>
      </c>
      <c r="Q355" t="s">
        <v>77</v>
      </c>
      <c r="R355">
        <v>99999</v>
      </c>
      <c r="S355" t="s">
        <v>30</v>
      </c>
      <c r="T355" t="s">
        <v>79</v>
      </c>
      <c r="U355" t="s">
        <v>88</v>
      </c>
      <c r="V355" t="s">
        <v>89</v>
      </c>
      <c r="W355">
        <v>40</v>
      </c>
      <c r="X355">
        <v>12</v>
      </c>
      <c r="Y355" s="4">
        <v>480</v>
      </c>
      <c r="Z355" s="3">
        <v>46.56</v>
      </c>
    </row>
    <row r="356" spans="1:26" x14ac:dyDescent="0.4">
      <c r="A356">
        <v>1417</v>
      </c>
      <c r="B356" s="2">
        <v>41983</v>
      </c>
      <c r="C356">
        <v>10</v>
      </c>
      <c r="D356" t="s">
        <v>97</v>
      </c>
      <c r="E356" t="s">
        <v>98</v>
      </c>
      <c r="F356" t="s">
        <v>99</v>
      </c>
      <c r="G356" t="s">
        <v>100</v>
      </c>
      <c r="H356">
        <v>99999</v>
      </c>
      <c r="I356" t="s">
        <v>30</v>
      </c>
      <c r="J356" t="s">
        <v>101</v>
      </c>
      <c r="K356" t="s">
        <v>45</v>
      </c>
      <c r="L356" s="2">
        <v>41985</v>
      </c>
      <c r="M356" t="s">
        <v>33</v>
      </c>
      <c r="N356" t="s">
        <v>102</v>
      </c>
      <c r="O356" t="s">
        <v>98</v>
      </c>
      <c r="P356" t="s">
        <v>99</v>
      </c>
      <c r="Q356" t="s">
        <v>100</v>
      </c>
      <c r="R356">
        <v>99999</v>
      </c>
      <c r="S356" t="s">
        <v>30</v>
      </c>
      <c r="T356" t="s">
        <v>48</v>
      </c>
      <c r="U356" t="s">
        <v>136</v>
      </c>
      <c r="V356" t="s">
        <v>39</v>
      </c>
      <c r="W356">
        <v>10</v>
      </c>
      <c r="X356">
        <v>97</v>
      </c>
      <c r="Y356" s="4">
        <v>970</v>
      </c>
      <c r="Z356" s="3">
        <v>100.88000000000001</v>
      </c>
    </row>
    <row r="357" spans="1:26" hidden="1" x14ac:dyDescent="0.4">
      <c r="A357">
        <v>1419</v>
      </c>
      <c r="B357" s="2">
        <v>41983</v>
      </c>
      <c r="C357">
        <v>10</v>
      </c>
      <c r="D357" t="s">
        <v>97</v>
      </c>
      <c r="E357" t="s">
        <v>98</v>
      </c>
      <c r="F357" t="s">
        <v>99</v>
      </c>
      <c r="G357" t="s">
        <v>100</v>
      </c>
      <c r="H357">
        <v>99999</v>
      </c>
      <c r="I357" t="s">
        <v>30</v>
      </c>
      <c r="J357" t="s">
        <v>101</v>
      </c>
      <c r="K357" t="s">
        <v>45</v>
      </c>
      <c r="L357" s="2"/>
      <c r="M357" t="s">
        <v>46</v>
      </c>
      <c r="N357" t="s">
        <v>102</v>
      </c>
      <c r="O357" t="s">
        <v>98</v>
      </c>
      <c r="P357" t="s">
        <v>99</v>
      </c>
      <c r="Q357" t="s">
        <v>100</v>
      </c>
      <c r="R357">
        <v>99999</v>
      </c>
      <c r="S357" t="s">
        <v>30</v>
      </c>
      <c r="U357" t="s">
        <v>38</v>
      </c>
      <c r="V357" t="s">
        <v>39</v>
      </c>
      <c r="W357">
        <v>3.5</v>
      </c>
      <c r="X357">
        <v>53</v>
      </c>
      <c r="Y357" s="4">
        <v>185.5</v>
      </c>
      <c r="Z357" s="3">
        <v>17.622499999999999</v>
      </c>
    </row>
    <row r="358" spans="1:26" hidden="1" x14ac:dyDescent="0.4">
      <c r="A358">
        <v>1420</v>
      </c>
      <c r="B358" s="2">
        <v>41984</v>
      </c>
      <c r="C358">
        <v>11</v>
      </c>
      <c r="D358" t="s">
        <v>113</v>
      </c>
      <c r="E358" t="s">
        <v>114</v>
      </c>
      <c r="F358" t="s">
        <v>115</v>
      </c>
      <c r="G358" t="s">
        <v>116</v>
      </c>
      <c r="H358">
        <v>99999</v>
      </c>
      <c r="I358" t="s">
        <v>30</v>
      </c>
      <c r="J358" t="s">
        <v>94</v>
      </c>
      <c r="K358" t="s">
        <v>95</v>
      </c>
      <c r="L358" s="2"/>
      <c r="M358" t="s">
        <v>62</v>
      </c>
      <c r="N358" t="s">
        <v>117</v>
      </c>
      <c r="O358" t="s">
        <v>114</v>
      </c>
      <c r="P358" t="s">
        <v>115</v>
      </c>
      <c r="Q358" t="s">
        <v>116</v>
      </c>
      <c r="R358">
        <v>99999</v>
      </c>
      <c r="S358" t="s">
        <v>30</v>
      </c>
      <c r="U358" t="s">
        <v>88</v>
      </c>
      <c r="V358" t="s">
        <v>89</v>
      </c>
      <c r="W358">
        <v>40</v>
      </c>
      <c r="X358">
        <v>61</v>
      </c>
      <c r="Y358" s="4">
        <v>2440</v>
      </c>
      <c r="Z358" s="3">
        <v>248.88</v>
      </c>
    </row>
    <row r="359" spans="1:26" hidden="1" x14ac:dyDescent="0.4">
      <c r="A359">
        <v>1421</v>
      </c>
      <c r="B359" s="2">
        <v>41974</v>
      </c>
      <c r="C359">
        <v>1</v>
      </c>
      <c r="D359" t="s">
        <v>118</v>
      </c>
      <c r="E359" t="s">
        <v>119</v>
      </c>
      <c r="F359" t="s">
        <v>120</v>
      </c>
      <c r="G359" t="s">
        <v>121</v>
      </c>
      <c r="H359">
        <v>99999</v>
      </c>
      <c r="I359" t="s">
        <v>30</v>
      </c>
      <c r="J359" t="s">
        <v>60</v>
      </c>
      <c r="K359" t="s">
        <v>61</v>
      </c>
      <c r="L359" s="2"/>
      <c r="M359" t="s">
        <v>62</v>
      </c>
      <c r="N359" t="s">
        <v>122</v>
      </c>
      <c r="O359" t="s">
        <v>119</v>
      </c>
      <c r="P359" t="s">
        <v>120</v>
      </c>
      <c r="Q359" t="s">
        <v>121</v>
      </c>
      <c r="R359">
        <v>99999</v>
      </c>
      <c r="S359" t="s">
        <v>30</v>
      </c>
      <c r="U359" t="s">
        <v>123</v>
      </c>
      <c r="V359" t="s">
        <v>124</v>
      </c>
      <c r="W359">
        <v>18.399999999999999</v>
      </c>
      <c r="X359">
        <v>45</v>
      </c>
      <c r="Y359" s="4">
        <v>827.99999999999989</v>
      </c>
      <c r="Z359" s="3">
        <v>81.143999999999991</v>
      </c>
    </row>
    <row r="360" spans="1:26" x14ac:dyDescent="0.4">
      <c r="A360">
        <v>1422</v>
      </c>
      <c r="B360" s="2">
        <v>42001</v>
      </c>
      <c r="C360">
        <v>28</v>
      </c>
      <c r="D360" t="s">
        <v>90</v>
      </c>
      <c r="E360" t="s">
        <v>91</v>
      </c>
      <c r="F360" t="s">
        <v>92</v>
      </c>
      <c r="G360" t="s">
        <v>93</v>
      </c>
      <c r="H360">
        <v>99999</v>
      </c>
      <c r="I360" t="s">
        <v>30</v>
      </c>
      <c r="J360" t="s">
        <v>94</v>
      </c>
      <c r="K360" t="s">
        <v>95</v>
      </c>
      <c r="L360" s="2">
        <v>42003</v>
      </c>
      <c r="M360" t="s">
        <v>62</v>
      </c>
      <c r="N360" t="s">
        <v>96</v>
      </c>
      <c r="O360" t="s">
        <v>91</v>
      </c>
      <c r="P360" t="s">
        <v>92</v>
      </c>
      <c r="Q360" t="s">
        <v>93</v>
      </c>
      <c r="R360">
        <v>99999</v>
      </c>
      <c r="S360" t="s">
        <v>30</v>
      </c>
      <c r="T360" t="s">
        <v>48</v>
      </c>
      <c r="U360" t="s">
        <v>55</v>
      </c>
      <c r="V360" t="s">
        <v>37</v>
      </c>
      <c r="W360">
        <v>46</v>
      </c>
      <c r="X360">
        <v>43</v>
      </c>
      <c r="Y360" s="4">
        <v>1978</v>
      </c>
      <c r="Z360" s="3">
        <v>197.8</v>
      </c>
    </row>
    <row r="361" spans="1:26" x14ac:dyDescent="0.4">
      <c r="A361">
        <v>1423</v>
      </c>
      <c r="B361" s="2">
        <v>41982</v>
      </c>
      <c r="C361">
        <v>9</v>
      </c>
      <c r="D361" t="s">
        <v>125</v>
      </c>
      <c r="E361" t="s">
        <v>126</v>
      </c>
      <c r="F361" t="s">
        <v>127</v>
      </c>
      <c r="G361" t="s">
        <v>128</v>
      </c>
      <c r="H361">
        <v>99999</v>
      </c>
      <c r="I361" t="s">
        <v>30</v>
      </c>
      <c r="J361" t="s">
        <v>129</v>
      </c>
      <c r="K361" t="s">
        <v>32</v>
      </c>
      <c r="L361" s="2">
        <v>41984</v>
      </c>
      <c r="M361" t="s">
        <v>46</v>
      </c>
      <c r="N361" t="s">
        <v>130</v>
      </c>
      <c r="O361" t="s">
        <v>126</v>
      </c>
      <c r="P361" t="s">
        <v>127</v>
      </c>
      <c r="Q361" t="s">
        <v>128</v>
      </c>
      <c r="R361">
        <v>99999</v>
      </c>
      <c r="S361" t="s">
        <v>30</v>
      </c>
      <c r="T361" t="s">
        <v>35</v>
      </c>
      <c r="U361" t="s">
        <v>80</v>
      </c>
      <c r="V361" t="s">
        <v>81</v>
      </c>
      <c r="W361">
        <v>9.65</v>
      </c>
      <c r="X361">
        <v>18</v>
      </c>
      <c r="Y361" s="4">
        <v>173.70000000000002</v>
      </c>
      <c r="Z361" s="3">
        <v>16.5015</v>
      </c>
    </row>
    <row r="362" spans="1:26" x14ac:dyDescent="0.4">
      <c r="A362">
        <v>1424</v>
      </c>
      <c r="B362" s="2">
        <v>41979</v>
      </c>
      <c r="C362">
        <v>6</v>
      </c>
      <c r="D362" t="s">
        <v>82</v>
      </c>
      <c r="E362" t="s">
        <v>83</v>
      </c>
      <c r="F362" t="s">
        <v>84</v>
      </c>
      <c r="G362" t="s">
        <v>85</v>
      </c>
      <c r="H362">
        <v>99999</v>
      </c>
      <c r="I362" t="s">
        <v>30</v>
      </c>
      <c r="J362" t="s">
        <v>86</v>
      </c>
      <c r="K362" t="s">
        <v>61</v>
      </c>
      <c r="L362" s="2">
        <v>41981</v>
      </c>
      <c r="M362" t="s">
        <v>33</v>
      </c>
      <c r="N362" t="s">
        <v>87</v>
      </c>
      <c r="O362" t="s">
        <v>83</v>
      </c>
      <c r="P362" t="s">
        <v>84</v>
      </c>
      <c r="Q362" t="s">
        <v>85</v>
      </c>
      <c r="R362">
        <v>99999</v>
      </c>
      <c r="S362" t="s">
        <v>30</v>
      </c>
      <c r="T362" t="s">
        <v>48</v>
      </c>
      <c r="U362" t="s">
        <v>72</v>
      </c>
      <c r="V362" t="s">
        <v>73</v>
      </c>
      <c r="W362">
        <v>12.75</v>
      </c>
      <c r="X362">
        <v>41</v>
      </c>
      <c r="Y362" s="4">
        <v>522.75</v>
      </c>
      <c r="Z362" s="3">
        <v>50.706750000000007</v>
      </c>
    </row>
    <row r="363" spans="1:26" x14ac:dyDescent="0.4">
      <c r="A363">
        <v>1425</v>
      </c>
      <c r="B363" s="2">
        <v>41981</v>
      </c>
      <c r="C363">
        <v>8</v>
      </c>
      <c r="D363" t="s">
        <v>56</v>
      </c>
      <c r="E363" t="s">
        <v>57</v>
      </c>
      <c r="F363" t="s">
        <v>58</v>
      </c>
      <c r="G363" t="s">
        <v>59</v>
      </c>
      <c r="H363">
        <v>99999</v>
      </c>
      <c r="I363" t="s">
        <v>30</v>
      </c>
      <c r="J363" t="s">
        <v>60</v>
      </c>
      <c r="K363" t="s">
        <v>61</v>
      </c>
      <c r="L363">
        <v>41983</v>
      </c>
      <c r="M363" t="s">
        <v>33</v>
      </c>
      <c r="N363" t="s">
        <v>63</v>
      </c>
      <c r="O363" t="s">
        <v>57</v>
      </c>
      <c r="P363" t="s">
        <v>58</v>
      </c>
      <c r="Q363" t="s">
        <v>59</v>
      </c>
      <c r="R363">
        <v>99999</v>
      </c>
      <c r="S363" t="s">
        <v>30</v>
      </c>
      <c r="T363" t="s">
        <v>35</v>
      </c>
      <c r="U363" t="s">
        <v>72</v>
      </c>
      <c r="V363" t="s">
        <v>73</v>
      </c>
      <c r="W363">
        <v>12.75</v>
      </c>
      <c r="X363">
        <v>19</v>
      </c>
      <c r="Y363" s="4">
        <v>242.25</v>
      </c>
      <c r="Z363" s="3">
        <v>23.982750000000003</v>
      </c>
    </row>
    <row r="364" spans="1:26" x14ac:dyDescent="0.4">
      <c r="A364">
        <v>1426</v>
      </c>
      <c r="B364" s="2">
        <v>41998</v>
      </c>
      <c r="C364">
        <v>25</v>
      </c>
      <c r="D364" t="s">
        <v>137</v>
      </c>
      <c r="E364" t="s">
        <v>138</v>
      </c>
      <c r="F364" t="s">
        <v>99</v>
      </c>
      <c r="G364" t="s">
        <v>100</v>
      </c>
      <c r="H364">
        <v>99999</v>
      </c>
      <c r="I364" t="s">
        <v>30</v>
      </c>
      <c r="J364" t="s">
        <v>101</v>
      </c>
      <c r="K364" t="s">
        <v>45</v>
      </c>
      <c r="L364">
        <v>42000</v>
      </c>
      <c r="M364" t="s">
        <v>46</v>
      </c>
      <c r="N364" t="s">
        <v>139</v>
      </c>
      <c r="O364" t="s">
        <v>138</v>
      </c>
      <c r="P364" t="s">
        <v>99</v>
      </c>
      <c r="Q364" t="s">
        <v>100</v>
      </c>
      <c r="R364">
        <v>99999</v>
      </c>
      <c r="S364" t="s">
        <v>30</v>
      </c>
      <c r="T364" t="s">
        <v>79</v>
      </c>
      <c r="U364" t="s">
        <v>111</v>
      </c>
      <c r="V364" t="s">
        <v>112</v>
      </c>
      <c r="W364">
        <v>22</v>
      </c>
      <c r="X364">
        <v>65</v>
      </c>
      <c r="Y364" s="4">
        <v>1430</v>
      </c>
      <c r="Z364" s="3">
        <v>138.71</v>
      </c>
    </row>
    <row r="365" spans="1:26" x14ac:dyDescent="0.4">
      <c r="A365">
        <v>1427</v>
      </c>
      <c r="B365" s="2">
        <v>41999</v>
      </c>
      <c r="C365">
        <v>26</v>
      </c>
      <c r="D365" t="s">
        <v>140</v>
      </c>
      <c r="E365" t="s">
        <v>141</v>
      </c>
      <c r="F365" t="s">
        <v>115</v>
      </c>
      <c r="G365" t="s">
        <v>116</v>
      </c>
      <c r="H365">
        <v>99999</v>
      </c>
      <c r="I365" t="s">
        <v>30</v>
      </c>
      <c r="J365" t="s">
        <v>94</v>
      </c>
      <c r="K365" t="s">
        <v>95</v>
      </c>
      <c r="L365">
        <v>42001</v>
      </c>
      <c r="M365" t="s">
        <v>62</v>
      </c>
      <c r="N365" t="s">
        <v>142</v>
      </c>
      <c r="O365" t="s">
        <v>141</v>
      </c>
      <c r="P365" t="s">
        <v>115</v>
      </c>
      <c r="Q365" t="s">
        <v>116</v>
      </c>
      <c r="R365">
        <v>99999</v>
      </c>
      <c r="S365" t="s">
        <v>30</v>
      </c>
      <c r="T365" t="s">
        <v>48</v>
      </c>
      <c r="U365" t="s">
        <v>109</v>
      </c>
      <c r="V365" t="s">
        <v>110</v>
      </c>
      <c r="W365">
        <v>25</v>
      </c>
      <c r="X365">
        <v>13</v>
      </c>
      <c r="Y365" s="4">
        <v>325</v>
      </c>
      <c r="Z365" s="3">
        <v>32.174999999999997</v>
      </c>
    </row>
    <row r="366" spans="1:26" x14ac:dyDescent="0.4">
      <c r="A366">
        <v>1428</v>
      </c>
      <c r="B366" s="2">
        <v>42002</v>
      </c>
      <c r="C366">
        <v>29</v>
      </c>
      <c r="D366" t="s">
        <v>66</v>
      </c>
      <c r="E366" t="s">
        <v>67</v>
      </c>
      <c r="F366" t="s">
        <v>68</v>
      </c>
      <c r="G366" t="s">
        <v>69</v>
      </c>
      <c r="H366">
        <v>99999</v>
      </c>
      <c r="I366" t="s">
        <v>30</v>
      </c>
      <c r="J366" t="s">
        <v>70</v>
      </c>
      <c r="K366" t="s">
        <v>32</v>
      </c>
      <c r="L366">
        <v>42004</v>
      </c>
      <c r="M366" t="s">
        <v>33</v>
      </c>
      <c r="N366" t="s">
        <v>71</v>
      </c>
      <c r="O366" t="s">
        <v>67</v>
      </c>
      <c r="P366" t="s">
        <v>68</v>
      </c>
      <c r="Q366" t="s">
        <v>69</v>
      </c>
      <c r="R366">
        <v>99999</v>
      </c>
      <c r="S366" t="s">
        <v>30</v>
      </c>
      <c r="T366" t="s">
        <v>35</v>
      </c>
      <c r="U366" t="s">
        <v>143</v>
      </c>
      <c r="V366" t="s">
        <v>144</v>
      </c>
      <c r="W366">
        <v>39</v>
      </c>
      <c r="X366">
        <v>54</v>
      </c>
      <c r="Y366" s="4">
        <v>2106</v>
      </c>
      <c r="Z366" s="3">
        <v>214.81200000000004</v>
      </c>
    </row>
    <row r="367" spans="1:26" x14ac:dyDescent="0.4">
      <c r="A367">
        <v>1429</v>
      </c>
      <c r="B367" s="2">
        <v>41979</v>
      </c>
      <c r="C367">
        <v>6</v>
      </c>
      <c r="D367" t="s">
        <v>82</v>
      </c>
      <c r="E367" t="s">
        <v>83</v>
      </c>
      <c r="F367" t="s">
        <v>84</v>
      </c>
      <c r="G367" t="s">
        <v>85</v>
      </c>
      <c r="H367">
        <v>99999</v>
      </c>
      <c r="I367" t="s">
        <v>30</v>
      </c>
      <c r="J367" t="s">
        <v>86</v>
      </c>
      <c r="K367" t="s">
        <v>61</v>
      </c>
      <c r="L367" s="2">
        <v>41981</v>
      </c>
      <c r="M367" t="s">
        <v>62</v>
      </c>
      <c r="N367" t="s">
        <v>87</v>
      </c>
      <c r="O367" t="s">
        <v>83</v>
      </c>
      <c r="P367" t="s">
        <v>84</v>
      </c>
      <c r="Q367" t="s">
        <v>85</v>
      </c>
      <c r="R367">
        <v>99999</v>
      </c>
      <c r="S367" t="s">
        <v>30</v>
      </c>
      <c r="T367" t="s">
        <v>35</v>
      </c>
      <c r="U367" t="s">
        <v>49</v>
      </c>
      <c r="V367" t="s">
        <v>39</v>
      </c>
      <c r="W367">
        <v>30</v>
      </c>
      <c r="X367">
        <v>33</v>
      </c>
      <c r="Y367" s="4">
        <v>990</v>
      </c>
      <c r="Z367" s="3">
        <v>95.039999999999992</v>
      </c>
    </row>
    <row r="368" spans="1:26" x14ac:dyDescent="0.4">
      <c r="A368">
        <v>1430</v>
      </c>
      <c r="B368" s="2">
        <v>41979</v>
      </c>
      <c r="C368">
        <v>6</v>
      </c>
      <c r="D368" t="s">
        <v>82</v>
      </c>
      <c r="E368" t="s">
        <v>83</v>
      </c>
      <c r="F368" t="s">
        <v>84</v>
      </c>
      <c r="G368" t="s">
        <v>85</v>
      </c>
      <c r="H368">
        <v>99999</v>
      </c>
      <c r="I368" t="s">
        <v>30</v>
      </c>
      <c r="J368" t="s">
        <v>86</v>
      </c>
      <c r="K368" t="s">
        <v>61</v>
      </c>
      <c r="L368" s="2">
        <v>41981</v>
      </c>
      <c r="M368" t="s">
        <v>62</v>
      </c>
      <c r="N368" t="s">
        <v>87</v>
      </c>
      <c r="O368" t="s">
        <v>83</v>
      </c>
      <c r="P368" t="s">
        <v>84</v>
      </c>
      <c r="Q368" t="s">
        <v>85</v>
      </c>
      <c r="R368">
        <v>99999</v>
      </c>
      <c r="S368" t="s">
        <v>30</v>
      </c>
      <c r="T368" t="s">
        <v>35</v>
      </c>
      <c r="U368" t="s">
        <v>50</v>
      </c>
      <c r="V368" t="s">
        <v>39</v>
      </c>
      <c r="W368">
        <v>53</v>
      </c>
      <c r="X368">
        <v>34</v>
      </c>
      <c r="Y368" s="4">
        <v>1802</v>
      </c>
      <c r="Z368" s="3">
        <v>185.60600000000002</v>
      </c>
    </row>
    <row r="369" spans="1:26" hidden="1" x14ac:dyDescent="0.4">
      <c r="A369">
        <v>1431</v>
      </c>
      <c r="B369" s="2">
        <v>41977</v>
      </c>
      <c r="C369">
        <v>4</v>
      </c>
      <c r="D369" t="s">
        <v>40</v>
      </c>
      <c r="E369" t="s">
        <v>41</v>
      </c>
      <c r="F369" t="s">
        <v>42</v>
      </c>
      <c r="G369" t="s">
        <v>43</v>
      </c>
      <c r="H369">
        <v>99999</v>
      </c>
      <c r="I369" t="s">
        <v>30</v>
      </c>
      <c r="J369" t="s">
        <v>44</v>
      </c>
      <c r="K369" t="s">
        <v>45</v>
      </c>
      <c r="L369" s="2"/>
      <c r="N369" t="s">
        <v>47</v>
      </c>
      <c r="O369" t="s">
        <v>41</v>
      </c>
      <c r="P369" t="s">
        <v>42</v>
      </c>
      <c r="Q369" t="s">
        <v>43</v>
      </c>
      <c r="R369">
        <v>99999</v>
      </c>
      <c r="S369" t="s">
        <v>30</v>
      </c>
      <c r="U369" t="s">
        <v>145</v>
      </c>
      <c r="V369" t="s">
        <v>132</v>
      </c>
      <c r="W369" s="3">
        <v>38</v>
      </c>
      <c r="X369">
        <v>59</v>
      </c>
      <c r="Y369" s="4">
        <v>2242</v>
      </c>
      <c r="Z369" s="3">
        <v>226.44200000000001</v>
      </c>
    </row>
    <row r="370" spans="1:26" hidden="1" x14ac:dyDescent="0.4">
      <c r="A370">
        <v>1432</v>
      </c>
      <c r="B370" s="2">
        <v>41976</v>
      </c>
      <c r="C370">
        <v>3</v>
      </c>
      <c r="D370" t="s">
        <v>74</v>
      </c>
      <c r="E370" t="s">
        <v>75</v>
      </c>
      <c r="F370" t="s">
        <v>76</v>
      </c>
      <c r="G370" t="s">
        <v>77</v>
      </c>
      <c r="H370">
        <v>99999</v>
      </c>
      <c r="I370" t="s">
        <v>30</v>
      </c>
      <c r="J370" t="s">
        <v>31</v>
      </c>
      <c r="K370" t="s">
        <v>32</v>
      </c>
      <c r="L370" s="2"/>
      <c r="N370" t="s">
        <v>78</v>
      </c>
      <c r="O370" t="s">
        <v>75</v>
      </c>
      <c r="P370" t="s">
        <v>76</v>
      </c>
      <c r="Q370" t="s">
        <v>77</v>
      </c>
      <c r="R370">
        <v>99999</v>
      </c>
      <c r="S370" t="s">
        <v>30</v>
      </c>
      <c r="U370" t="s">
        <v>103</v>
      </c>
      <c r="V370" t="s">
        <v>37</v>
      </c>
      <c r="W370" s="3">
        <v>2.99</v>
      </c>
      <c r="X370">
        <v>24</v>
      </c>
      <c r="Y370" s="4">
        <v>71.760000000000005</v>
      </c>
      <c r="Z370" s="3">
        <v>7.1042400000000008</v>
      </c>
    </row>
  </sheetData>
  <autoFilter ref="A1:Z370" xr:uid="{00000000-0009-0000-0000-000007000000}">
    <filterColumn colId="19">
      <customFilters>
        <customFilter operator="notEqual" val=" "/>
      </customFilters>
    </filterColumn>
  </autoFilter>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3CF0C-8669-450A-BA39-53EFB7615E5B}">
  <dimension ref="A1"/>
  <sheetViews>
    <sheetView showGridLines="0" tabSelected="1" topLeftCell="AB1" zoomScale="60" zoomScaleNormal="60" workbookViewId="0">
      <selection activeCell="AT68" sqref="AT68"/>
    </sheetView>
  </sheetViews>
  <sheetFormatPr defaultRowHeight="14.6" x14ac:dyDescent="0.4"/>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2E446-1D93-46EC-8DD3-3B1EB270C542}">
  <dimension ref="A1"/>
  <sheetViews>
    <sheetView showGridLines="0" topLeftCell="R1" zoomScale="60" zoomScaleNormal="60" workbookViewId="0">
      <selection activeCell="O30" sqref="O30"/>
    </sheetView>
  </sheetViews>
  <sheetFormatPr defaultRowHeight="14.6" x14ac:dyDescent="0.4"/>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2B86A-E4EC-44AA-B01F-A2CF63C492B9}">
  <dimension ref="A3:B16"/>
  <sheetViews>
    <sheetView zoomScale="90" zoomScaleNormal="90" workbookViewId="0">
      <selection activeCell="L23" sqref="L23"/>
    </sheetView>
  </sheetViews>
  <sheetFormatPr defaultRowHeight="14.6" x14ac:dyDescent="0.4"/>
  <cols>
    <col min="1" max="1" width="13.3828125" bestFit="1" customWidth="1"/>
    <col min="2" max="2" width="14.69140625" bestFit="1" customWidth="1"/>
  </cols>
  <sheetData>
    <row r="3" spans="1:2" x14ac:dyDescent="0.4">
      <c r="A3" s="10" t="s">
        <v>166</v>
      </c>
      <c r="B3" t="s">
        <v>180</v>
      </c>
    </row>
    <row r="4" spans="1:2" x14ac:dyDescent="0.4">
      <c r="A4" s="11" t="s">
        <v>168</v>
      </c>
      <c r="B4" s="3">
        <v>32907.839999999997</v>
      </c>
    </row>
    <row r="5" spans="1:2" x14ac:dyDescent="0.4">
      <c r="A5" s="11" t="s">
        <v>169</v>
      </c>
      <c r="B5" s="3">
        <v>19985.5</v>
      </c>
    </row>
    <row r="6" spans="1:2" x14ac:dyDescent="0.4">
      <c r="A6" s="11" t="s">
        <v>170</v>
      </c>
      <c r="B6" s="3">
        <v>30852.6</v>
      </c>
    </row>
    <row r="7" spans="1:2" x14ac:dyDescent="0.4">
      <c r="A7" s="11" t="s">
        <v>171</v>
      </c>
      <c r="B7" s="3">
        <v>20771.789999999997</v>
      </c>
    </row>
    <row r="8" spans="1:2" x14ac:dyDescent="0.4">
      <c r="A8" s="11" t="s">
        <v>172</v>
      </c>
      <c r="B8" s="3">
        <v>34307.049999999996</v>
      </c>
    </row>
    <row r="9" spans="1:2" x14ac:dyDescent="0.4">
      <c r="A9" s="11" t="s">
        <v>173</v>
      </c>
      <c r="B9" s="3">
        <v>55601.61</v>
      </c>
    </row>
    <row r="10" spans="1:2" x14ac:dyDescent="0.4">
      <c r="A10" s="11" t="s">
        <v>174</v>
      </c>
      <c r="B10" s="3">
        <v>27318.539999999997</v>
      </c>
    </row>
    <row r="11" spans="1:2" x14ac:dyDescent="0.4">
      <c r="A11" s="11" t="s">
        <v>175</v>
      </c>
      <c r="B11" s="3">
        <v>29921.459999999995</v>
      </c>
    </row>
    <row r="12" spans="1:2" x14ac:dyDescent="0.4">
      <c r="A12" s="11" t="s">
        <v>176</v>
      </c>
      <c r="B12" s="3">
        <v>31949.97</v>
      </c>
    </row>
    <row r="13" spans="1:2" x14ac:dyDescent="0.4">
      <c r="A13" s="11" t="s">
        <v>177</v>
      </c>
      <c r="B13" s="3">
        <v>53033.59</v>
      </c>
    </row>
    <row r="14" spans="1:2" x14ac:dyDescent="0.4">
      <c r="A14" s="11" t="s">
        <v>178</v>
      </c>
      <c r="B14" s="3">
        <v>31773.429999999997</v>
      </c>
    </row>
    <row r="15" spans="1:2" x14ac:dyDescent="0.4">
      <c r="A15" s="11" t="s">
        <v>179</v>
      </c>
      <c r="B15" s="3">
        <v>66642.78</v>
      </c>
    </row>
    <row r="16" spans="1:2" x14ac:dyDescent="0.4">
      <c r="A16" s="11" t="s">
        <v>167</v>
      </c>
      <c r="B16" s="3">
        <v>435066.15999999992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CC23A-D165-4183-8957-ED3A151460B5}">
  <dimension ref="A3:B14"/>
  <sheetViews>
    <sheetView zoomScale="90" zoomScaleNormal="90" workbookViewId="0">
      <selection activeCell="L13" sqref="L13"/>
    </sheetView>
  </sheetViews>
  <sheetFormatPr defaultRowHeight="14.6" x14ac:dyDescent="0.4"/>
  <cols>
    <col min="1" max="1" width="13.3828125" bestFit="1" customWidth="1"/>
    <col min="2" max="2" width="14.69140625" bestFit="1" customWidth="1"/>
  </cols>
  <sheetData>
    <row r="3" spans="1:2" x14ac:dyDescent="0.4">
      <c r="A3" s="10" t="s">
        <v>166</v>
      </c>
      <c r="B3" t="s">
        <v>180</v>
      </c>
    </row>
    <row r="4" spans="1:2" x14ac:dyDescent="0.4">
      <c r="A4" s="11" t="s">
        <v>40</v>
      </c>
      <c r="B4" s="3">
        <v>67180.5</v>
      </c>
    </row>
    <row r="5" spans="1:2" x14ac:dyDescent="0.4">
      <c r="A5" s="11" t="s">
        <v>56</v>
      </c>
      <c r="B5" s="3">
        <v>50208.35</v>
      </c>
    </row>
    <row r="6" spans="1:2" x14ac:dyDescent="0.4">
      <c r="A6" s="11" t="s">
        <v>90</v>
      </c>
      <c r="B6" s="3">
        <v>43713</v>
      </c>
    </row>
    <row r="7" spans="1:2" x14ac:dyDescent="0.4">
      <c r="A7" s="11" t="s">
        <v>82</v>
      </c>
      <c r="B7" s="3">
        <v>37428</v>
      </c>
    </row>
    <row r="8" spans="1:2" x14ac:dyDescent="0.4">
      <c r="A8" s="11" t="s">
        <v>118</v>
      </c>
      <c r="B8" s="3">
        <v>36839.990000000005</v>
      </c>
    </row>
    <row r="9" spans="1:2" x14ac:dyDescent="0.4">
      <c r="A9" s="11" t="s">
        <v>125</v>
      </c>
      <c r="B9" s="3">
        <v>32530.6</v>
      </c>
    </row>
    <row r="10" spans="1:2" x14ac:dyDescent="0.4">
      <c r="A10" s="11" t="s">
        <v>97</v>
      </c>
      <c r="B10" s="3">
        <v>29133.009999999995</v>
      </c>
    </row>
    <row r="11" spans="1:2" x14ac:dyDescent="0.4">
      <c r="A11" s="11" t="s">
        <v>140</v>
      </c>
      <c r="B11" s="3">
        <v>28208.250000000007</v>
      </c>
    </row>
    <row r="12" spans="1:2" x14ac:dyDescent="0.4">
      <c r="A12" s="11" t="s">
        <v>74</v>
      </c>
      <c r="B12" s="3">
        <v>27005.38</v>
      </c>
    </row>
    <row r="13" spans="1:2" x14ac:dyDescent="0.4">
      <c r="A13" s="11" t="s">
        <v>113</v>
      </c>
      <c r="B13" s="3">
        <v>21937.08</v>
      </c>
    </row>
    <row r="14" spans="1:2" x14ac:dyDescent="0.4">
      <c r="A14" s="11" t="s">
        <v>167</v>
      </c>
      <c r="B14" s="3">
        <v>374184.16000000003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9EBF1-74AD-427F-9865-816B6A222026}">
  <dimension ref="A3:B12"/>
  <sheetViews>
    <sheetView zoomScale="70" zoomScaleNormal="70" workbookViewId="0">
      <selection activeCell="L32" sqref="L32"/>
    </sheetView>
  </sheetViews>
  <sheetFormatPr defaultRowHeight="14.6" x14ac:dyDescent="0.4"/>
  <cols>
    <col min="1" max="1" width="15.07421875" bestFit="1" customWidth="1"/>
    <col min="2" max="2" width="14.69140625" bestFit="1" customWidth="1"/>
  </cols>
  <sheetData>
    <row r="3" spans="1:2" x14ac:dyDescent="0.4">
      <c r="A3" s="10" t="s">
        <v>166</v>
      </c>
      <c r="B3" t="s">
        <v>180</v>
      </c>
    </row>
    <row r="4" spans="1:2" x14ac:dyDescent="0.4">
      <c r="A4" s="11" t="s">
        <v>70</v>
      </c>
      <c r="B4" s="3">
        <v>16350.5</v>
      </c>
    </row>
    <row r="5" spans="1:2" x14ac:dyDescent="0.4">
      <c r="A5" s="11" t="s">
        <v>129</v>
      </c>
      <c r="B5" s="3">
        <v>32530.6</v>
      </c>
    </row>
    <row r="6" spans="1:2" x14ac:dyDescent="0.4">
      <c r="A6" s="11" t="s">
        <v>86</v>
      </c>
      <c r="B6" s="3">
        <v>37428</v>
      </c>
    </row>
    <row r="7" spans="1:2" x14ac:dyDescent="0.4">
      <c r="A7" s="11" t="s">
        <v>101</v>
      </c>
      <c r="B7" s="3">
        <v>41095.01</v>
      </c>
    </row>
    <row r="8" spans="1:2" x14ac:dyDescent="0.4">
      <c r="A8" s="11" t="s">
        <v>31</v>
      </c>
      <c r="B8" s="3">
        <v>42370.880000000005</v>
      </c>
    </row>
    <row r="9" spans="1:2" x14ac:dyDescent="0.4">
      <c r="A9" s="11" t="s">
        <v>44</v>
      </c>
      <c r="B9" s="3">
        <v>67180.5</v>
      </c>
    </row>
    <row r="10" spans="1:2" x14ac:dyDescent="0.4">
      <c r="A10" s="11" t="s">
        <v>94</v>
      </c>
      <c r="B10" s="3">
        <v>93858.329999999987</v>
      </c>
    </row>
    <row r="11" spans="1:2" x14ac:dyDescent="0.4">
      <c r="A11" s="11" t="s">
        <v>60</v>
      </c>
      <c r="B11" s="3">
        <v>104252.33999999997</v>
      </c>
    </row>
    <row r="12" spans="1:2" x14ac:dyDescent="0.4">
      <c r="A12" s="11" t="s">
        <v>167</v>
      </c>
      <c r="B12" s="3">
        <v>435066.15999999992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2723A-833B-48C3-B57C-15CC21A31A95}">
  <dimension ref="A3:B8"/>
  <sheetViews>
    <sheetView zoomScale="80" zoomScaleNormal="80" workbookViewId="0">
      <selection activeCell="N33" sqref="N33"/>
    </sheetView>
  </sheetViews>
  <sheetFormatPr defaultRowHeight="14.6" x14ac:dyDescent="0.4"/>
  <cols>
    <col min="1" max="1" width="13.07421875" bestFit="1" customWidth="1"/>
    <col min="2" max="2" width="14.69140625" bestFit="1" customWidth="1"/>
  </cols>
  <sheetData>
    <row r="3" spans="1:2" x14ac:dyDescent="0.4">
      <c r="A3" s="10" t="s">
        <v>166</v>
      </c>
      <c r="B3" t="s">
        <v>180</v>
      </c>
    </row>
    <row r="4" spans="1:2" x14ac:dyDescent="0.4">
      <c r="A4" s="11" t="s">
        <v>32</v>
      </c>
      <c r="B4" s="12">
        <v>0.20974276647947063</v>
      </c>
    </row>
    <row r="5" spans="1:2" x14ac:dyDescent="0.4">
      <c r="A5" s="11" t="s">
        <v>95</v>
      </c>
      <c r="B5" s="12">
        <v>0.21573346453789927</v>
      </c>
    </row>
    <row r="6" spans="1:2" x14ac:dyDescent="0.4">
      <c r="A6" s="11" t="s">
        <v>45</v>
      </c>
      <c r="B6" s="12">
        <v>0.24887136705828836</v>
      </c>
    </row>
    <row r="7" spans="1:2" x14ac:dyDescent="0.4">
      <c r="A7" s="11" t="s">
        <v>61</v>
      </c>
      <c r="B7" s="12">
        <v>0.32565240192434181</v>
      </c>
    </row>
    <row r="8" spans="1:2" x14ac:dyDescent="0.4">
      <c r="A8" s="11" t="s">
        <v>167</v>
      </c>
      <c r="B8" s="12">
        <v>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62A24-2205-4761-8AEC-954A952616CE}">
  <dimension ref="A3:B9"/>
  <sheetViews>
    <sheetView zoomScale="70" zoomScaleNormal="70" workbookViewId="0">
      <selection activeCell="A5" sqref="A4:A8"/>
      <pivotSelection pane="bottomRight" showHeader="1" axis="axisRow" activeRow="4" previousRow="4" click="1" r:id="rId1">
        <pivotArea dataOnly="0" labelOnly="1" fieldPosition="0">
          <references count="1">
            <reference field="21" count="0"/>
          </references>
        </pivotArea>
      </pivotSelection>
    </sheetView>
  </sheetViews>
  <sheetFormatPr defaultRowHeight="14.6" x14ac:dyDescent="0.4"/>
  <cols>
    <col min="1" max="1" width="15.84375" bestFit="1" customWidth="1"/>
    <col min="2" max="2" width="14.69140625" bestFit="1" customWidth="1"/>
  </cols>
  <sheetData>
    <row r="3" spans="1:2" x14ac:dyDescent="0.4">
      <c r="A3" s="10" t="s">
        <v>166</v>
      </c>
      <c r="B3" t="s">
        <v>180</v>
      </c>
    </row>
    <row r="4" spans="1:2" x14ac:dyDescent="0.4">
      <c r="A4" s="11" t="s">
        <v>37</v>
      </c>
      <c r="B4" s="3">
        <v>110577.10999999999</v>
      </c>
    </row>
    <row r="5" spans="1:2" x14ac:dyDescent="0.4">
      <c r="A5" s="11" t="s">
        <v>89</v>
      </c>
      <c r="B5" s="3">
        <v>69000</v>
      </c>
    </row>
    <row r="6" spans="1:2" x14ac:dyDescent="0.4">
      <c r="A6" s="11" t="s">
        <v>110</v>
      </c>
      <c r="B6" s="3">
        <v>51541</v>
      </c>
    </row>
    <row r="7" spans="1:2" x14ac:dyDescent="0.4">
      <c r="A7" s="11" t="s">
        <v>134</v>
      </c>
      <c r="B7" s="3">
        <v>33129.600000000006</v>
      </c>
    </row>
    <row r="8" spans="1:2" x14ac:dyDescent="0.4">
      <c r="A8" s="11" t="s">
        <v>39</v>
      </c>
      <c r="B8" s="3">
        <v>27999.5</v>
      </c>
    </row>
    <row r="9" spans="1:2" x14ac:dyDescent="0.4">
      <c r="A9" s="11" t="s">
        <v>167</v>
      </c>
      <c r="B9" s="3">
        <v>292247.20999999996</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62400-BA57-4179-BBC1-0474787AC980}">
  <dimension ref="A3:E10"/>
  <sheetViews>
    <sheetView zoomScale="70" zoomScaleNormal="70" workbookViewId="0">
      <selection activeCell="R19" sqref="R19"/>
    </sheetView>
  </sheetViews>
  <sheetFormatPr defaultRowHeight="14.6" x14ac:dyDescent="0.4"/>
  <cols>
    <col min="1" max="1" width="13.3828125" bestFit="1" customWidth="1"/>
    <col min="2" max="2" width="14.69140625" bestFit="1" customWidth="1"/>
    <col min="4" max="4" width="12.921875" customWidth="1"/>
    <col min="5" max="5" width="14.3046875" bestFit="1" customWidth="1"/>
  </cols>
  <sheetData>
    <row r="3" spans="1:5" x14ac:dyDescent="0.4">
      <c r="A3" s="10" t="s">
        <v>166</v>
      </c>
      <c r="B3" t="s">
        <v>180</v>
      </c>
      <c r="D3" s="14" t="s">
        <v>183</v>
      </c>
      <c r="E3" s="14" t="s">
        <v>184</v>
      </c>
    </row>
    <row r="4" spans="1:5" x14ac:dyDescent="0.4">
      <c r="A4" s="11" t="s">
        <v>42</v>
      </c>
      <c r="B4" s="3">
        <v>67180.5</v>
      </c>
      <c r="D4" s="11" t="s">
        <v>42</v>
      </c>
      <c r="E4" s="3">
        <v>67180.5</v>
      </c>
    </row>
    <row r="5" spans="1:5" x14ac:dyDescent="0.4">
      <c r="A5" s="11" t="s">
        <v>58</v>
      </c>
      <c r="B5" s="3">
        <v>50208.35</v>
      </c>
      <c r="D5" s="11" t="s">
        <v>58</v>
      </c>
      <c r="E5" s="3">
        <v>50208.35</v>
      </c>
    </row>
    <row r="6" spans="1:5" x14ac:dyDescent="0.4">
      <c r="A6" s="11" t="s">
        <v>115</v>
      </c>
      <c r="B6" s="3">
        <v>50145.330000000009</v>
      </c>
      <c r="D6" s="11" t="s">
        <v>115</v>
      </c>
      <c r="E6" s="3">
        <v>50145.330000000009</v>
      </c>
    </row>
    <row r="7" spans="1:5" x14ac:dyDescent="0.4">
      <c r="A7" s="11" t="s">
        <v>92</v>
      </c>
      <c r="B7" s="3">
        <v>43713</v>
      </c>
      <c r="D7" s="11" t="s">
        <v>92</v>
      </c>
      <c r="E7" s="3">
        <v>43713</v>
      </c>
    </row>
    <row r="8" spans="1:5" x14ac:dyDescent="0.4">
      <c r="A8" s="11" t="s">
        <v>99</v>
      </c>
      <c r="B8" s="3">
        <v>41095.01</v>
      </c>
      <c r="D8" s="11" t="s">
        <v>99</v>
      </c>
      <c r="E8" s="3">
        <v>41095.01</v>
      </c>
    </row>
    <row r="9" spans="1:5" x14ac:dyDescent="0.4">
      <c r="A9" s="11" t="s">
        <v>84</v>
      </c>
      <c r="B9" s="3">
        <v>37428</v>
      </c>
      <c r="D9" s="11" t="s">
        <v>84</v>
      </c>
      <c r="E9" s="3">
        <v>37428</v>
      </c>
    </row>
    <row r="10" spans="1:5" x14ac:dyDescent="0.4">
      <c r="A10" s="11" t="s">
        <v>167</v>
      </c>
      <c r="B10" s="3">
        <v>289770.19</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32719-B25D-4859-8DE4-72105396128D}">
  <dimension ref="A3:B9"/>
  <sheetViews>
    <sheetView zoomScale="70" zoomScaleNormal="70" workbookViewId="0">
      <selection activeCell="F44" sqref="F44"/>
    </sheetView>
  </sheetViews>
  <sheetFormatPr defaultRowHeight="14.6" x14ac:dyDescent="0.4"/>
  <cols>
    <col min="1" max="1" width="13.3828125" bestFit="1" customWidth="1"/>
    <col min="2" max="2" width="14.69140625" bestFit="1" customWidth="1"/>
  </cols>
  <sheetData>
    <row r="3" spans="1:2" x14ac:dyDescent="0.4">
      <c r="A3" s="10" t="s">
        <v>166</v>
      </c>
      <c r="B3" t="s">
        <v>180</v>
      </c>
    </row>
    <row r="4" spans="1:2" x14ac:dyDescent="0.4">
      <c r="A4" s="11" t="s">
        <v>99</v>
      </c>
      <c r="B4" s="3">
        <v>41095.01</v>
      </c>
    </row>
    <row r="5" spans="1:2" x14ac:dyDescent="0.4">
      <c r="A5" s="11" t="s">
        <v>92</v>
      </c>
      <c r="B5" s="3">
        <v>43713</v>
      </c>
    </row>
    <row r="6" spans="1:2" x14ac:dyDescent="0.4">
      <c r="A6" s="11" t="s">
        <v>115</v>
      </c>
      <c r="B6" s="3">
        <v>50145.330000000009</v>
      </c>
    </row>
    <row r="7" spans="1:2" x14ac:dyDescent="0.4">
      <c r="A7" s="11" t="s">
        <v>58</v>
      </c>
      <c r="B7" s="3">
        <v>50208.35</v>
      </c>
    </row>
    <row r="8" spans="1:2" x14ac:dyDescent="0.4">
      <c r="A8" s="11" t="s">
        <v>42</v>
      </c>
      <c r="B8" s="3">
        <v>67180.5</v>
      </c>
    </row>
    <row r="9" spans="1:2" x14ac:dyDescent="0.4">
      <c r="A9" s="11" t="s">
        <v>167</v>
      </c>
      <c r="B9" s="3">
        <v>252342.19000000003</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8484E-87F8-4BB7-9F16-414EF6245A92}">
  <dimension ref="A3:E16"/>
  <sheetViews>
    <sheetView zoomScale="70" zoomScaleNormal="70" workbookViewId="0">
      <selection activeCell="Z21" sqref="Z21"/>
    </sheetView>
  </sheetViews>
  <sheetFormatPr defaultRowHeight="14.6" x14ac:dyDescent="0.4"/>
  <cols>
    <col min="1" max="1" width="13.3828125" bestFit="1" customWidth="1"/>
    <col min="2" max="2" width="14.69140625" bestFit="1" customWidth="1"/>
    <col min="4" max="4" width="10.07421875" bestFit="1" customWidth="1"/>
    <col min="5" max="5" width="14.3046875" bestFit="1" customWidth="1"/>
  </cols>
  <sheetData>
    <row r="3" spans="1:5" x14ac:dyDescent="0.4">
      <c r="A3" s="10" t="s">
        <v>166</v>
      </c>
      <c r="B3" t="s">
        <v>180</v>
      </c>
      <c r="D3" s="14" t="s">
        <v>6</v>
      </c>
      <c r="E3" s="14" t="s">
        <v>24</v>
      </c>
    </row>
    <row r="4" spans="1:5" x14ac:dyDescent="0.4">
      <c r="A4" s="11" t="s">
        <v>77</v>
      </c>
      <c r="B4" s="3">
        <v>27005.38</v>
      </c>
      <c r="D4" s="11" t="s">
        <v>77</v>
      </c>
      <c r="E4" s="3">
        <v>27005.38</v>
      </c>
    </row>
    <row r="5" spans="1:5" x14ac:dyDescent="0.4">
      <c r="A5" s="11" t="s">
        <v>69</v>
      </c>
      <c r="B5" s="3">
        <v>16350.5</v>
      </c>
      <c r="D5" s="11" t="s">
        <v>69</v>
      </c>
      <c r="E5" s="3">
        <v>16350.5</v>
      </c>
    </row>
    <row r="6" spans="1:5" x14ac:dyDescent="0.4">
      <c r="A6" s="11" t="s">
        <v>116</v>
      </c>
      <c r="B6" s="3">
        <v>50145.330000000009</v>
      </c>
      <c r="D6" s="11" t="s">
        <v>116</v>
      </c>
      <c r="E6" s="3">
        <v>50145.330000000009</v>
      </c>
    </row>
    <row r="7" spans="1:5" x14ac:dyDescent="0.4">
      <c r="A7" s="11" t="s">
        <v>107</v>
      </c>
      <c r="B7" s="3">
        <v>17204</v>
      </c>
      <c r="D7" s="11" t="s">
        <v>107</v>
      </c>
      <c r="E7" s="3">
        <v>17204</v>
      </c>
    </row>
    <row r="8" spans="1:5" x14ac:dyDescent="0.4">
      <c r="A8" s="11" t="s">
        <v>100</v>
      </c>
      <c r="B8" s="3">
        <v>41095.01</v>
      </c>
      <c r="D8" s="11" t="s">
        <v>100</v>
      </c>
      <c r="E8" s="3">
        <v>41095.01</v>
      </c>
    </row>
    <row r="9" spans="1:5" x14ac:dyDescent="0.4">
      <c r="A9" s="11" t="s">
        <v>29</v>
      </c>
      <c r="B9" s="3">
        <v>15365.5</v>
      </c>
      <c r="D9" s="11" t="s">
        <v>29</v>
      </c>
      <c r="E9" s="3">
        <v>15365.5</v>
      </c>
    </row>
    <row r="10" spans="1:5" x14ac:dyDescent="0.4">
      <c r="A10" s="11" t="s">
        <v>43</v>
      </c>
      <c r="B10" s="3">
        <v>67180.5</v>
      </c>
      <c r="D10" s="11" t="s">
        <v>43</v>
      </c>
      <c r="E10" s="3">
        <v>67180.5</v>
      </c>
    </row>
    <row r="11" spans="1:5" x14ac:dyDescent="0.4">
      <c r="A11" s="11" t="s">
        <v>59</v>
      </c>
      <c r="B11" s="3">
        <v>50208.35</v>
      </c>
      <c r="D11" s="11" t="s">
        <v>59</v>
      </c>
      <c r="E11" s="3">
        <v>50208.35</v>
      </c>
    </row>
    <row r="12" spans="1:5" x14ac:dyDescent="0.4">
      <c r="A12" s="11" t="s">
        <v>93</v>
      </c>
      <c r="B12" s="3">
        <v>43713</v>
      </c>
      <c r="D12" s="11" t="s">
        <v>93</v>
      </c>
      <c r="E12" s="3">
        <v>43713</v>
      </c>
    </row>
    <row r="13" spans="1:5" x14ac:dyDescent="0.4">
      <c r="A13" s="11" t="s">
        <v>128</v>
      </c>
      <c r="B13" s="3">
        <v>32530.6</v>
      </c>
      <c r="D13" s="11" t="s">
        <v>128</v>
      </c>
      <c r="E13" s="3">
        <v>32530.6</v>
      </c>
    </row>
    <row r="14" spans="1:5" x14ac:dyDescent="0.4">
      <c r="A14" s="11" t="s">
        <v>121</v>
      </c>
      <c r="B14" s="3">
        <v>36839.990000000005</v>
      </c>
      <c r="D14" s="11" t="s">
        <v>121</v>
      </c>
      <c r="E14" s="3">
        <v>36839.990000000005</v>
      </c>
    </row>
    <row r="15" spans="1:5" x14ac:dyDescent="0.4">
      <c r="A15" s="11" t="s">
        <v>85</v>
      </c>
      <c r="B15" s="3">
        <v>37428</v>
      </c>
      <c r="D15" s="11" t="s">
        <v>85</v>
      </c>
      <c r="E15" s="3">
        <v>37428</v>
      </c>
    </row>
    <row r="16" spans="1:5" x14ac:dyDescent="0.4">
      <c r="A16" s="11" t="s">
        <v>167</v>
      </c>
      <c r="B16" s="3">
        <v>435066.16</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687E0-449B-4751-8944-E19FA39CEC68}">
  <dimension ref="A3:B11"/>
  <sheetViews>
    <sheetView zoomScaleNormal="100" workbookViewId="0">
      <selection activeCell="K24" sqref="K24"/>
    </sheetView>
  </sheetViews>
  <sheetFormatPr defaultRowHeight="14.6" x14ac:dyDescent="0.4"/>
  <cols>
    <col min="1" max="1" width="12.3828125" bestFit="1" customWidth="1"/>
    <col min="2" max="2" width="15.765625" bestFit="1" customWidth="1"/>
  </cols>
  <sheetData>
    <row r="3" spans="1:2" x14ac:dyDescent="0.4">
      <c r="A3" s="10" t="s">
        <v>166</v>
      </c>
      <c r="B3" t="s">
        <v>192</v>
      </c>
    </row>
    <row r="4" spans="1:2" x14ac:dyDescent="0.4">
      <c r="A4" s="15" t="s">
        <v>185</v>
      </c>
      <c r="B4">
        <v>218</v>
      </c>
    </row>
    <row r="5" spans="1:2" x14ac:dyDescent="0.4">
      <c r="A5" s="15" t="s">
        <v>186</v>
      </c>
      <c r="B5">
        <v>85</v>
      </c>
    </row>
    <row r="6" spans="1:2" x14ac:dyDescent="0.4">
      <c r="A6" s="15" t="s">
        <v>187</v>
      </c>
      <c r="B6">
        <v>31</v>
      </c>
    </row>
    <row r="7" spans="1:2" x14ac:dyDescent="0.4">
      <c r="A7" s="15" t="s">
        <v>188</v>
      </c>
      <c r="B7">
        <v>24</v>
      </c>
    </row>
    <row r="8" spans="1:2" x14ac:dyDescent="0.4">
      <c r="A8" s="15" t="s">
        <v>189</v>
      </c>
      <c r="B8">
        <v>8</v>
      </c>
    </row>
    <row r="9" spans="1:2" x14ac:dyDescent="0.4">
      <c r="A9" s="15" t="s">
        <v>190</v>
      </c>
      <c r="B9">
        <v>2</v>
      </c>
    </row>
    <row r="10" spans="1:2" x14ac:dyDescent="0.4">
      <c r="A10" s="15" t="s">
        <v>191</v>
      </c>
      <c r="B10">
        <v>1</v>
      </c>
    </row>
    <row r="11" spans="1:2" x14ac:dyDescent="0.4">
      <c r="A11" s="15" t="s">
        <v>167</v>
      </c>
      <c r="B11">
        <v>369</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79CB0-C50A-474C-B75E-FD8574A4A86E}">
  <dimension ref="A1"/>
  <sheetViews>
    <sheetView showGridLines="0" zoomScale="90" zoomScaleNormal="90" workbookViewId="0">
      <selection activeCell="O30" sqref="O30"/>
    </sheetView>
  </sheetViews>
  <sheetFormatPr defaultRowHeight="14.6" x14ac:dyDescent="0.4"/>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5552A-CEEE-4505-A5D3-2D21362FDCBA}">
  <dimension ref="A1"/>
  <sheetViews>
    <sheetView showGridLines="0" zoomScale="90" zoomScaleNormal="90" workbookViewId="0">
      <selection activeCell="W45" sqref="W45"/>
    </sheetView>
  </sheetViews>
  <sheetFormatPr defaultRowHeight="14.6" x14ac:dyDescent="0.4"/>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3C696-FFCD-4150-85B5-985494DEF5DE}">
  <dimension ref="A1"/>
  <sheetViews>
    <sheetView showGridLines="0" topLeftCell="A18" zoomScale="70" zoomScaleNormal="70" workbookViewId="0">
      <selection activeCell="K43" sqref="K43"/>
    </sheetView>
  </sheetViews>
  <sheetFormatPr defaultRowHeight="14.6" x14ac:dyDescent="0.4"/>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2EF3C470-9831-4735-B402-C0B91AACC8A4}">
  <ds:schemaRefs>
    <ds:schemaRef ds:uri="http://www.w3.org/2001/XMLSchema"/>
    <ds:schemaRef ds:uri="http://microsoft.data.visualization.Client.Excel/1.0"/>
  </ds:schemaRefs>
</ds:datastoreItem>
</file>

<file path=customXml/itemProps2.xml><?xml version="1.0" encoding="utf-8"?>
<ds:datastoreItem xmlns:ds="http://schemas.openxmlformats.org/officeDocument/2006/customXml" ds:itemID="{5BA3FD8E-5861-4E1F-A43E-C0A2621EAF66}">
  <ds:schemaRefs>
    <ds:schemaRef ds:uri="http://www.w3.org/2001/XMLSchema"/>
    <ds:schemaRef ds:uri="http://microsoft.data.visualization.engine.tours/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Pivot Table Diagram</vt:lpstr>
      <vt:lpstr>Task</vt:lpstr>
      <vt:lpstr>Data (2)</vt:lpstr>
      <vt:lpstr>Pre Analysis Board</vt:lpstr>
      <vt:lpstr>In-Analysis Board</vt:lpstr>
      <vt:lpstr>Sales Trend</vt:lpstr>
      <vt:lpstr>Top 10 Customers</vt:lpstr>
      <vt:lpstr>Sales by Rep</vt:lpstr>
      <vt:lpstr>Sales by Region</vt:lpstr>
      <vt:lpstr>Sales by Product category</vt:lpstr>
      <vt:lpstr>Top 6 Ship Cities</vt:lpstr>
      <vt:lpstr>Top 5 Cities</vt:lpstr>
      <vt:lpstr>State Performance</vt:lpstr>
      <vt:lpstr>Transaction by Amount</vt:lpstr>
      <vt:lpstr>Dashboard Sketch </vt:lpstr>
      <vt:lpstr>Dashboard Interface</vt:lpstr>
      <vt:lpstr>Post-Analysis Board </vt:lpstr>
    </vt:vector>
  </TitlesOfParts>
  <Company>Excel Campus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dc:creator>
  <cp:lastModifiedBy>Elvis I</cp:lastModifiedBy>
  <dcterms:created xsi:type="dcterms:W3CDTF">2015-01-21T18:43:03Z</dcterms:created>
  <dcterms:modified xsi:type="dcterms:W3CDTF">2026-04-06T12:27:10Z</dcterms:modified>
</cp:coreProperties>
</file>